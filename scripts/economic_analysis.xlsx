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adebajo\Downloads\"/>
    </mc:Choice>
  </mc:AlternateContent>
  <xr:revisionPtr revIDLastSave="0" documentId="13_ncr:1_{E7927031-3C2E-40B3-8421-67B9520EBC40}" xr6:coauthVersionLast="47" xr6:coauthVersionMax="47" xr10:uidLastSave="{00000000-0000-0000-0000-000000000000}"/>
  <bookViews>
    <workbookView xWindow="28680" yWindow="-120" windowWidth="29040" windowHeight="15720" xr2:uid="{2B9CD3A1-AC09-4DE9-A94E-B945CDD5EA7A}"/>
  </bookViews>
  <sheets>
    <sheet name="$200,000 battery fade2" sheetId="12" r:id="rId1"/>
    <sheet name="$125,000 battery fade2" sheetId="11" r:id="rId2"/>
    <sheet name="$50,000 battery fade2" sheetId="10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0" l="1"/>
  <c r="G42" i="12" l="1"/>
  <c r="F42" i="12"/>
  <c r="E42" i="12"/>
  <c r="D42" i="12"/>
  <c r="B42" i="12"/>
  <c r="C37" i="12"/>
  <c r="C36" i="12"/>
  <c r="D35" i="12"/>
  <c r="C35" i="12"/>
  <c r="C34" i="12"/>
  <c r="G32" i="12"/>
  <c r="E32" i="12"/>
  <c r="C32" i="12"/>
  <c r="E17" i="12"/>
  <c r="D17" i="12"/>
  <c r="C17" i="12"/>
  <c r="C16" i="12"/>
  <c r="C15" i="12"/>
  <c r="C13" i="12"/>
  <c r="C14" i="12" s="1"/>
  <c r="C18" i="12" s="1"/>
  <c r="C19" i="12" s="1"/>
  <c r="C12" i="12"/>
  <c r="C11" i="12"/>
  <c r="G10" i="12"/>
  <c r="G35" i="12" s="1"/>
  <c r="F10" i="12"/>
  <c r="F35" i="12" s="1"/>
  <c r="E10" i="12"/>
  <c r="E35" i="12" s="1"/>
  <c r="D10" i="12"/>
  <c r="D32" i="12" s="1"/>
  <c r="B10" i="12"/>
  <c r="B36" i="12" s="1"/>
  <c r="J8" i="12"/>
  <c r="J9" i="12" s="1"/>
  <c r="J7" i="12"/>
  <c r="G7" i="12"/>
  <c r="G8" i="12" s="1"/>
  <c r="E7" i="12"/>
  <c r="E8" i="12" s="1"/>
  <c r="D7" i="12"/>
  <c r="D8" i="12" s="1"/>
  <c r="C7" i="12"/>
  <c r="C8" i="12" s="1"/>
  <c r="B7" i="12"/>
  <c r="B8" i="12" s="1"/>
  <c r="G4" i="12"/>
  <c r="G5" i="12" s="1"/>
  <c r="G6" i="12" s="1"/>
  <c r="F4" i="12"/>
  <c r="F5" i="12" s="1"/>
  <c r="F6" i="12" s="1"/>
  <c r="E4" i="12"/>
  <c r="E5" i="12" s="1"/>
  <c r="E6" i="12" s="1"/>
  <c r="D4" i="12"/>
  <c r="D5" i="12" s="1"/>
  <c r="D6" i="12" s="1"/>
  <c r="C4" i="12"/>
  <c r="C5" i="12" s="1"/>
  <c r="C6" i="12" s="1"/>
  <c r="B4" i="12"/>
  <c r="B5" i="12" s="1"/>
  <c r="B6" i="12" s="1"/>
  <c r="G42" i="11"/>
  <c r="F42" i="11"/>
  <c r="E42" i="11"/>
  <c r="D42" i="11"/>
  <c r="B42" i="11"/>
  <c r="E37" i="11"/>
  <c r="D37" i="11"/>
  <c r="C37" i="11"/>
  <c r="C36" i="11"/>
  <c r="G35" i="11"/>
  <c r="F35" i="11"/>
  <c r="E35" i="11"/>
  <c r="D35" i="11"/>
  <c r="C35" i="11"/>
  <c r="G34" i="11"/>
  <c r="F34" i="11"/>
  <c r="E34" i="11"/>
  <c r="C34" i="11"/>
  <c r="F32" i="11"/>
  <c r="E32" i="11"/>
  <c r="C32" i="11"/>
  <c r="C19" i="11"/>
  <c r="C18" i="11"/>
  <c r="G17" i="11"/>
  <c r="G18" i="11" s="1"/>
  <c r="G19" i="11" s="1"/>
  <c r="F17" i="11"/>
  <c r="E17" i="11"/>
  <c r="D17" i="11"/>
  <c r="C17" i="11"/>
  <c r="F16" i="11"/>
  <c r="E16" i="11"/>
  <c r="F15" i="11"/>
  <c r="E15" i="11"/>
  <c r="C14" i="11"/>
  <c r="G13" i="11"/>
  <c r="G14" i="11" s="1"/>
  <c r="C13" i="11"/>
  <c r="F11" i="11"/>
  <c r="F12" i="11" s="1"/>
  <c r="E11" i="11"/>
  <c r="E12" i="11" s="1"/>
  <c r="D11" i="11"/>
  <c r="D15" i="11" s="1"/>
  <c r="C11" i="11"/>
  <c r="C15" i="11" s="1"/>
  <c r="G10" i="11"/>
  <c r="G37" i="11" s="1"/>
  <c r="F10" i="11"/>
  <c r="F37" i="11" s="1"/>
  <c r="E10" i="11"/>
  <c r="E13" i="11" s="1"/>
  <c r="E14" i="11" s="1"/>
  <c r="D10" i="11"/>
  <c r="D32" i="11" s="1"/>
  <c r="B10" i="11"/>
  <c r="B36" i="11" s="1"/>
  <c r="J8" i="11"/>
  <c r="J9" i="11" s="1"/>
  <c r="G8" i="11"/>
  <c r="G9" i="11" s="1"/>
  <c r="J7" i="11"/>
  <c r="G7" i="11"/>
  <c r="D7" i="11"/>
  <c r="D8" i="11" s="1"/>
  <c r="C7" i="11"/>
  <c r="C8" i="11" s="1"/>
  <c r="B7" i="11"/>
  <c r="B8" i="11" s="1"/>
  <c r="G4" i="11"/>
  <c r="G5" i="11" s="1"/>
  <c r="G6" i="11" s="1"/>
  <c r="F4" i="11"/>
  <c r="F5" i="11" s="1"/>
  <c r="F6" i="11" s="1"/>
  <c r="E4" i="11"/>
  <c r="E5" i="11" s="1"/>
  <c r="E6" i="11" s="1"/>
  <c r="D4" i="11"/>
  <c r="D5" i="11" s="1"/>
  <c r="D6" i="11" s="1"/>
  <c r="C4" i="11"/>
  <c r="C5" i="11" s="1"/>
  <c r="C6" i="11" s="1"/>
  <c r="B4" i="11"/>
  <c r="B5" i="11" s="1"/>
  <c r="B6" i="11" s="1"/>
  <c r="G42" i="10"/>
  <c r="F42" i="10"/>
  <c r="E42" i="10"/>
  <c r="D42" i="10"/>
  <c r="B42" i="10"/>
  <c r="C37" i="10"/>
  <c r="B37" i="10"/>
  <c r="F36" i="10"/>
  <c r="C36" i="10"/>
  <c r="C35" i="10"/>
  <c r="C34" i="10"/>
  <c r="B34" i="10"/>
  <c r="G32" i="10"/>
  <c r="F32" i="10"/>
  <c r="E32" i="10"/>
  <c r="C32" i="10"/>
  <c r="C17" i="10"/>
  <c r="B17" i="10"/>
  <c r="C16" i="10"/>
  <c r="B16" i="10"/>
  <c r="C13" i="10"/>
  <c r="C14" i="10" s="1"/>
  <c r="C18" i="10" s="1"/>
  <c r="C19" i="10" s="1"/>
  <c r="B13" i="10"/>
  <c r="B14" i="10" s="1"/>
  <c r="C11" i="10"/>
  <c r="C15" i="10" s="1"/>
  <c r="B11" i="10"/>
  <c r="B12" i="10" s="1"/>
  <c r="G10" i="10"/>
  <c r="G35" i="10" s="1"/>
  <c r="F10" i="10"/>
  <c r="F35" i="10" s="1"/>
  <c r="E10" i="10"/>
  <c r="E13" i="10" s="1"/>
  <c r="E14" i="10" s="1"/>
  <c r="D10" i="10"/>
  <c r="D32" i="10" s="1"/>
  <c r="B10" i="10"/>
  <c r="B36" i="10" s="1"/>
  <c r="J8" i="10"/>
  <c r="G7" i="10" s="1"/>
  <c r="G8" i="10" s="1"/>
  <c r="J7" i="10"/>
  <c r="G5" i="10"/>
  <c r="G6" i="10" s="1"/>
  <c r="F5" i="10"/>
  <c r="F6" i="10" s="1"/>
  <c r="E5" i="10"/>
  <c r="E6" i="10" s="1"/>
  <c r="G4" i="10"/>
  <c r="F4" i="10"/>
  <c r="E4" i="10"/>
  <c r="D4" i="10"/>
  <c r="D5" i="10" s="1"/>
  <c r="D6" i="10" s="1"/>
  <c r="C4" i="10"/>
  <c r="C5" i="10" s="1"/>
  <c r="C6" i="10" s="1"/>
  <c r="B4" i="10"/>
  <c r="B5" i="10" s="1"/>
  <c r="B6" i="10" s="1"/>
  <c r="B20" i="12" l="1"/>
  <c r="B9" i="12"/>
  <c r="B29" i="12"/>
  <c r="D20" i="12"/>
  <c r="D9" i="12"/>
  <c r="D29" i="12"/>
  <c r="E20" i="12"/>
  <c r="E29" i="12"/>
  <c r="G20" i="12"/>
  <c r="C20" i="12"/>
  <c r="C9" i="12"/>
  <c r="C21" i="12"/>
  <c r="C22" i="12"/>
  <c r="C29" i="12"/>
  <c r="E18" i="12"/>
  <c r="E19" i="12" s="1"/>
  <c r="B13" i="12"/>
  <c r="B14" i="12" s="1"/>
  <c r="F32" i="12"/>
  <c r="D36" i="12"/>
  <c r="D13" i="12"/>
  <c r="D14" i="12" s="1"/>
  <c r="D18" i="12" s="1"/>
  <c r="D19" i="12" s="1"/>
  <c r="G13" i="12"/>
  <c r="G14" i="12" s="1"/>
  <c r="G9" i="12" s="1"/>
  <c r="E36" i="12"/>
  <c r="F36" i="12"/>
  <c r="G36" i="12"/>
  <c r="B11" i="12"/>
  <c r="B37" i="12"/>
  <c r="E34" i="12"/>
  <c r="D11" i="12"/>
  <c r="F34" i="12"/>
  <c r="D37" i="12"/>
  <c r="F13" i="12"/>
  <c r="F14" i="12" s="1"/>
  <c r="E11" i="12"/>
  <c r="G34" i="12"/>
  <c r="E37" i="12"/>
  <c r="B34" i="12"/>
  <c r="E13" i="12"/>
  <c r="E14" i="12" s="1"/>
  <c r="E9" i="12" s="1"/>
  <c r="D34" i="12"/>
  <c r="F11" i="12"/>
  <c r="B17" i="12"/>
  <c r="B18" i="12" s="1"/>
  <c r="B19" i="12" s="1"/>
  <c r="B35" i="12"/>
  <c r="F37" i="12"/>
  <c r="G11" i="12"/>
  <c r="G37" i="12"/>
  <c r="F17" i="12"/>
  <c r="B32" i="12"/>
  <c r="G17" i="12"/>
  <c r="G18" i="12" s="1"/>
  <c r="G19" i="12" s="1"/>
  <c r="F7" i="12"/>
  <c r="F8" i="12" s="1"/>
  <c r="E18" i="11"/>
  <c r="E19" i="11" s="1"/>
  <c r="B20" i="11"/>
  <c r="B29" i="11" s="1"/>
  <c r="C20" i="11"/>
  <c r="C9" i="11"/>
  <c r="C22" i="11"/>
  <c r="C29" i="11"/>
  <c r="C21" i="11"/>
  <c r="D20" i="11"/>
  <c r="G20" i="11"/>
  <c r="B13" i="11"/>
  <c r="B14" i="11" s="1"/>
  <c r="B9" i="11" s="1"/>
  <c r="G32" i="11"/>
  <c r="E36" i="11"/>
  <c r="D12" i="11"/>
  <c r="D22" i="11" s="1"/>
  <c r="D36" i="11"/>
  <c r="B34" i="11"/>
  <c r="C16" i="11"/>
  <c r="G36" i="11"/>
  <c r="D13" i="11"/>
  <c r="D14" i="11" s="1"/>
  <c r="D18" i="11" s="1"/>
  <c r="D19" i="11" s="1"/>
  <c r="F36" i="11"/>
  <c r="B11" i="11"/>
  <c r="F13" i="11"/>
  <c r="F14" i="11" s="1"/>
  <c r="F18" i="11" s="1"/>
  <c r="F19" i="11" s="1"/>
  <c r="D16" i="11"/>
  <c r="D34" i="11"/>
  <c r="B37" i="11"/>
  <c r="B17" i="11"/>
  <c r="B35" i="11"/>
  <c r="G11" i="11"/>
  <c r="C12" i="11"/>
  <c r="B32" i="11"/>
  <c r="E7" i="11"/>
  <c r="E8" i="11" s="1"/>
  <c r="F7" i="11"/>
  <c r="F8" i="11" s="1"/>
  <c r="G20" i="10"/>
  <c r="B18" i="10"/>
  <c r="B19" i="10" s="1"/>
  <c r="D36" i="10"/>
  <c r="G36" i="10"/>
  <c r="D13" i="10"/>
  <c r="D14" i="10" s="1"/>
  <c r="D34" i="10"/>
  <c r="F13" i="10"/>
  <c r="F14" i="10" s="1"/>
  <c r="G13" i="10"/>
  <c r="G14" i="10" s="1"/>
  <c r="G9" i="10" s="1"/>
  <c r="E11" i="10"/>
  <c r="F34" i="10"/>
  <c r="D37" i="10"/>
  <c r="E34" i="10"/>
  <c r="F11" i="10"/>
  <c r="B35" i="10"/>
  <c r="F37" i="10"/>
  <c r="G37" i="10"/>
  <c r="D17" i="10"/>
  <c r="D35" i="10"/>
  <c r="G34" i="10"/>
  <c r="C12" i="10"/>
  <c r="D7" i="10"/>
  <c r="D8" i="10" s="1"/>
  <c r="B15" i="10"/>
  <c r="E17" i="10"/>
  <c r="E18" i="10" s="1"/>
  <c r="E19" i="10" s="1"/>
  <c r="E35" i="10"/>
  <c r="D11" i="10"/>
  <c r="I16" i="10"/>
  <c r="C7" i="10"/>
  <c r="C8" i="10" s="1"/>
  <c r="E7" i="10"/>
  <c r="E8" i="10" s="1"/>
  <c r="F17" i="10"/>
  <c r="B32" i="10"/>
  <c r="E37" i="10"/>
  <c r="G11" i="10"/>
  <c r="F7" i="10"/>
  <c r="F8" i="10" s="1"/>
  <c r="G17" i="10"/>
  <c r="E36" i="10"/>
  <c r="B7" i="10"/>
  <c r="B8" i="10" s="1"/>
  <c r="J9" i="10"/>
  <c r="F20" i="12" l="1"/>
  <c r="F9" i="12"/>
  <c r="F29" i="12"/>
  <c r="C23" i="12"/>
  <c r="C30" i="12" s="1"/>
  <c r="C28" i="12"/>
  <c r="C25" i="12"/>
  <c r="C24" i="12"/>
  <c r="B15" i="12"/>
  <c r="B16" i="12"/>
  <c r="B12" i="12"/>
  <c r="G25" i="12"/>
  <c r="G24" i="12"/>
  <c r="G23" i="12"/>
  <c r="G30" i="12" s="1"/>
  <c r="G28" i="12"/>
  <c r="E12" i="12"/>
  <c r="E16" i="12"/>
  <c r="E15" i="12"/>
  <c r="C27" i="12"/>
  <c r="C26" i="12"/>
  <c r="F18" i="12"/>
  <c r="F19" i="12" s="1"/>
  <c r="G29" i="12"/>
  <c r="F12" i="12"/>
  <c r="F22" i="12" s="1"/>
  <c r="F16" i="12"/>
  <c r="F15" i="12"/>
  <c r="E28" i="12"/>
  <c r="E25" i="12"/>
  <c r="E24" i="12"/>
  <c r="E23" i="12"/>
  <c r="E30" i="12" s="1"/>
  <c r="D15" i="12"/>
  <c r="D12" i="12"/>
  <c r="D16" i="12"/>
  <c r="G16" i="12"/>
  <c r="G12" i="12"/>
  <c r="G15" i="12"/>
  <c r="D23" i="12"/>
  <c r="D30" i="12" s="1"/>
  <c r="D28" i="12"/>
  <c r="D24" i="12"/>
  <c r="D25" i="12"/>
  <c r="B23" i="12"/>
  <c r="B30" i="12" s="1"/>
  <c r="B28" i="12"/>
  <c r="B24" i="12"/>
  <c r="B25" i="12"/>
  <c r="F20" i="11"/>
  <c r="F29" i="11"/>
  <c r="F21" i="11"/>
  <c r="F9" i="11"/>
  <c r="F22" i="11"/>
  <c r="G16" i="11"/>
  <c r="G15" i="11"/>
  <c r="G12" i="11"/>
  <c r="C23" i="11"/>
  <c r="C30" i="11" s="1"/>
  <c r="C25" i="11"/>
  <c r="C24" i="11"/>
  <c r="C28" i="11"/>
  <c r="B18" i="11"/>
  <c r="B19" i="11" s="1"/>
  <c r="D9" i="11"/>
  <c r="B30" i="11"/>
  <c r="D23" i="11"/>
  <c r="D30" i="11" s="1"/>
  <c r="D28" i="11"/>
  <c r="D25" i="11"/>
  <c r="D24" i="11"/>
  <c r="G25" i="11"/>
  <c r="G24" i="11"/>
  <c r="G29" i="11"/>
  <c r="G23" i="11"/>
  <c r="G30" i="11" s="1"/>
  <c r="G28" i="11"/>
  <c r="D21" i="11"/>
  <c r="C27" i="11"/>
  <c r="C26" i="11"/>
  <c r="E20" i="11"/>
  <c r="E22" i="11"/>
  <c r="E29" i="11"/>
  <c r="E21" i="11"/>
  <c r="E9" i="11"/>
  <c r="B23" i="11"/>
  <c r="B25" i="11"/>
  <c r="B24" i="11"/>
  <c r="B28" i="11"/>
  <c r="D29" i="11"/>
  <c r="B16" i="11"/>
  <c r="B15" i="11"/>
  <c r="B12" i="11"/>
  <c r="C22" i="10"/>
  <c r="C20" i="10"/>
  <c r="C9" i="10"/>
  <c r="C21" i="10"/>
  <c r="C29" i="10"/>
  <c r="D15" i="10"/>
  <c r="D12" i="10"/>
  <c r="D16" i="10"/>
  <c r="G18" i="10"/>
  <c r="G19" i="10" s="1"/>
  <c r="F20" i="10"/>
  <c r="F9" i="10"/>
  <c r="F29" i="10"/>
  <c r="G25" i="10"/>
  <c r="G28" i="10"/>
  <c r="G24" i="10"/>
  <c r="G23" i="10"/>
  <c r="G30" i="10" s="1"/>
  <c r="G29" i="10"/>
  <c r="E15" i="10"/>
  <c r="E16" i="10"/>
  <c r="E12" i="10"/>
  <c r="E22" i="10" s="1"/>
  <c r="B20" i="10"/>
  <c r="B29" i="10"/>
  <c r="B22" i="10"/>
  <c r="B21" i="10"/>
  <c r="F18" i="10"/>
  <c r="F19" i="10" s="1"/>
  <c r="F12" i="10"/>
  <c r="F22" i="10" s="1"/>
  <c r="F15" i="10"/>
  <c r="F16" i="10"/>
  <c r="D20" i="10"/>
  <c r="D9" i="10"/>
  <c r="D29" i="10"/>
  <c r="D22" i="10"/>
  <c r="D21" i="10"/>
  <c r="D18" i="10"/>
  <c r="D19" i="10" s="1"/>
  <c r="G12" i="10"/>
  <c r="G15" i="10"/>
  <c r="G16" i="10"/>
  <c r="E20" i="10"/>
  <c r="E21" i="10"/>
  <c r="E9" i="10"/>
  <c r="B22" i="12" l="1"/>
  <c r="B21" i="12"/>
  <c r="F21" i="12"/>
  <c r="D22" i="12"/>
  <c r="D21" i="12"/>
  <c r="E21" i="12"/>
  <c r="E22" i="12"/>
  <c r="G21" i="12"/>
  <c r="G22" i="12"/>
  <c r="F28" i="12"/>
  <c r="F25" i="12"/>
  <c r="F24" i="12"/>
  <c r="F23" i="12"/>
  <c r="F30" i="12" s="1"/>
  <c r="E28" i="11"/>
  <c r="E25" i="11"/>
  <c r="E24" i="11"/>
  <c r="E23" i="11"/>
  <c r="E30" i="11" s="1"/>
  <c r="D27" i="11"/>
  <c r="D26" i="11"/>
  <c r="B21" i="11"/>
  <c r="B22" i="11"/>
  <c r="G21" i="11"/>
  <c r="G22" i="11"/>
  <c r="F27" i="11"/>
  <c r="F26" i="11"/>
  <c r="E27" i="11"/>
  <c r="E26" i="11"/>
  <c r="F28" i="11"/>
  <c r="F25" i="11"/>
  <c r="F24" i="11"/>
  <c r="F23" i="11"/>
  <c r="F30" i="11" s="1"/>
  <c r="E27" i="10"/>
  <c r="E26" i="10"/>
  <c r="E28" i="10"/>
  <c r="E24" i="10"/>
  <c r="E25" i="10"/>
  <c r="E23" i="10"/>
  <c r="E30" i="10" s="1"/>
  <c r="B26" i="10"/>
  <c r="B27" i="10"/>
  <c r="F21" i="10"/>
  <c r="G22" i="10"/>
  <c r="G21" i="10"/>
  <c r="D27" i="10"/>
  <c r="D26" i="10"/>
  <c r="D23" i="10"/>
  <c r="D30" i="10" s="1"/>
  <c r="D28" i="10"/>
  <c r="D25" i="10"/>
  <c r="D24" i="10"/>
  <c r="F28" i="10"/>
  <c r="F25" i="10"/>
  <c r="F23" i="10"/>
  <c r="F30" i="10" s="1"/>
  <c r="F24" i="10"/>
  <c r="B24" i="10"/>
  <c r="B23" i="10"/>
  <c r="B30" i="10" s="1"/>
  <c r="B28" i="10"/>
  <c r="B25" i="10"/>
  <c r="C27" i="10"/>
  <c r="C26" i="10"/>
  <c r="C24" i="10"/>
  <c r="C23" i="10"/>
  <c r="C30" i="10" s="1"/>
  <c r="C25" i="10"/>
  <c r="C28" i="10"/>
  <c r="E29" i="10"/>
  <c r="G27" i="12" l="1"/>
  <c r="G26" i="12"/>
  <c r="E26" i="12"/>
  <c r="E27" i="12"/>
  <c r="D27" i="12"/>
  <c r="D26" i="12"/>
  <c r="F27" i="12"/>
  <c r="F26" i="12"/>
  <c r="B26" i="12"/>
  <c r="B27" i="12"/>
  <c r="G27" i="11"/>
  <c r="G26" i="11"/>
  <c r="B26" i="11"/>
  <c r="B27" i="11"/>
  <c r="G27" i="10"/>
  <c r="G26" i="10"/>
  <c r="F26" i="10"/>
  <c r="F27" i="10"/>
</calcChain>
</file>

<file path=xl/sharedStrings.xml><?xml version="1.0" encoding="utf-8"?>
<sst xmlns="http://schemas.openxmlformats.org/spreadsheetml/2006/main" count="162" uniqueCount="51">
  <si>
    <t>ECONOMIC ANALYSIS ELECTRIC AIRCRAFT</t>
  </si>
  <si>
    <t>1C</t>
  </si>
  <si>
    <t>0.5C</t>
  </si>
  <si>
    <t>2C</t>
  </si>
  <si>
    <t>3C</t>
  </si>
  <si>
    <t>Flights to 80% SOH</t>
  </si>
  <si>
    <t>Charging rates</t>
  </si>
  <si>
    <t>Total flight time till degradation (hrs)</t>
  </si>
  <si>
    <t>flight duration (hrs)</t>
  </si>
  <si>
    <t>Battery replacements</t>
  </si>
  <si>
    <t>Fixed hours</t>
  </si>
  <si>
    <t>560kg</t>
  </si>
  <si>
    <t>Price per battery pack ($)</t>
  </si>
  <si>
    <t>Payload per flight (lb)</t>
  </si>
  <si>
    <t>Revenue per flight ($)</t>
  </si>
  <si>
    <t>Battery replacements cost ($)</t>
  </si>
  <si>
    <t>Payload per hour (lb/hr)</t>
  </si>
  <si>
    <t>Revenue per pound ($/lb)</t>
  </si>
  <si>
    <t>Idle time (charging time)</t>
  </si>
  <si>
    <t>Revenue per hour ($/hr)</t>
  </si>
  <si>
    <t>idle time for 2000 hours</t>
  </si>
  <si>
    <t>Revenue for fixed hours</t>
  </si>
  <si>
    <t>Cost associated with idle time ($20/hr)</t>
  </si>
  <si>
    <t>TBO</t>
  </si>
  <si>
    <t>$ / lb / hr</t>
  </si>
  <si>
    <t>Flights per day</t>
  </si>
  <si>
    <t>Days expanded over 2000 flight hours</t>
  </si>
  <si>
    <t>Left over time per day (hrs)</t>
  </si>
  <si>
    <t>Payload over 2000 hours</t>
  </si>
  <si>
    <t>Comments</t>
  </si>
  <si>
    <t>for 24 hour working days</t>
  </si>
  <si>
    <t>Preliminary Profit f/d</t>
  </si>
  <si>
    <t>Preliminary Profit h/d</t>
  </si>
  <si>
    <t>$ / lb / day f/d</t>
  </si>
  <si>
    <t>$ / lb / day h/d</t>
  </si>
  <si>
    <t>h/d</t>
  </si>
  <si>
    <t>for 12 hour working days f/d</t>
  </si>
  <si>
    <t>$ / lb / day 24-hour</t>
  </si>
  <si>
    <t>Preliminary Profit 24-hour</t>
  </si>
  <si>
    <t>Profit per year</t>
  </si>
  <si>
    <t>Profit per day</t>
  </si>
  <si>
    <t>1.5C</t>
  </si>
  <si>
    <t>2.5C</t>
  </si>
  <si>
    <t>Operating cost per year</t>
  </si>
  <si>
    <t>Operating cost for fixed hours</t>
  </si>
  <si>
    <t>Revenue per year</t>
  </si>
  <si>
    <t>Hours per day</t>
  </si>
  <si>
    <t>ROUNDDOWN($J$10/($J$2+B10),0)</t>
  </si>
  <si>
    <t>12- …</t>
  </si>
  <si>
    <t>flight + charging</t>
  </si>
  <si>
    <t>Cost associated with idle charging time ($20/hr)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</si>
</sst>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3" fontId="0" fillId="0" borderId="0" xfId="0" applyNumberFormat="1"/>
    <xf numFmtId="0" fontId="1" fillId="0" borderId="0" xfId="1"/>
    <xf numFmtId="4" fontId="0" fillId="0" borderId="0" xfId="0" applyNumberFormat="1"/>
    <xf numFmtId="0" fontId="0" fillId="3" borderId="0" xfId="0" applyFill="1"/>
    <xf numFmtId="0" fontId="0" fillId="4" borderId="0" xfId="0" applyFill="1"/>
    <xf numFmtId="4" fontId="0" fillId="4" borderId="0" xfId="0" applyNumberFormat="1" applyFill="1"/>
    <xf numFmtId="4" fontId="0" fillId="3" borderId="0" xfId="0" applyNumberFormat="1" applyFill="1"/>
    <xf numFmtId="2" fontId="0" fillId="0" borderId="0" xfId="0" applyNumberFormat="1"/>
    <xf numFmtId="0" fontId="0" fillId="2" borderId="0" xfId="0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per year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'$200,000 battery fade2'!$B$2:$G$2</c:f>
              <c:strCache>
                <c:ptCount val="6"/>
                <c:pt idx="0">
                  <c:v>0.5C</c:v>
                </c:pt>
                <c:pt idx="1">
                  <c:v>1C</c:v>
                </c:pt>
                <c:pt idx="2">
                  <c:v>1.5C</c:v>
                </c:pt>
                <c:pt idx="3">
                  <c:v>2C</c:v>
                </c:pt>
                <c:pt idx="4">
                  <c:v>2.5C</c:v>
                </c:pt>
                <c:pt idx="5">
                  <c:v>3C</c:v>
                </c:pt>
              </c:strCache>
            </c:strRef>
          </c:cat>
          <c:val>
            <c:numRef>
              <c:f>'$200,000 battery fade2'!$B$23:$G$23</c:f>
              <c:numCache>
                <c:formatCode>#,##0.00</c:formatCode>
                <c:ptCount val="6"/>
                <c:pt idx="0">
                  <c:v>2660173.724546636</c:v>
                </c:pt>
                <c:pt idx="1">
                  <c:v>3910252.438043315</c:v>
                </c:pt>
                <c:pt idx="2">
                  <c:v>3818022.9991993504</c:v>
                </c:pt>
                <c:pt idx="3">
                  <c:v>4324825.4561110614</c:v>
                </c:pt>
                <c:pt idx="4">
                  <c:v>4170375.2163807461</c:v>
                </c:pt>
                <c:pt idx="5">
                  <c:v>4004309.9657616219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0D-4282-9967-165B7DDB0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415247"/>
        <c:axId val="84406607"/>
      </c:barChart>
      <c:catAx>
        <c:axId val="84415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06607"/>
        <c:crosses val="autoZero"/>
        <c:auto val="1"/>
        <c:lblAlgn val="ctr"/>
        <c:lblOffset val="100"/>
        <c:noMultiLvlLbl val="0"/>
      </c:catAx>
      <c:valAx>
        <c:axId val="84406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15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per year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'$200,000 battery fade2'!$B$2:$G$2</c:f>
              <c:strCache>
                <c:ptCount val="6"/>
                <c:pt idx="0">
                  <c:v>0.5C</c:v>
                </c:pt>
                <c:pt idx="1">
                  <c:v>1C</c:v>
                </c:pt>
                <c:pt idx="2">
                  <c:v>1.5C</c:v>
                </c:pt>
                <c:pt idx="3">
                  <c:v>2C</c:v>
                </c:pt>
                <c:pt idx="4">
                  <c:v>2.5C</c:v>
                </c:pt>
                <c:pt idx="5">
                  <c:v>3C</c:v>
                </c:pt>
              </c:strCache>
            </c:strRef>
          </c:cat>
          <c:val>
            <c:numRef>
              <c:f>'$200,000 battery fade2'!$B$9:$G$9</c:f>
              <c:numCache>
                <c:formatCode>General</c:formatCode>
                <c:ptCount val="6"/>
                <c:pt idx="0">
                  <c:v>3050435.8567779032</c:v>
                </c:pt>
                <c:pt idx="1">
                  <c:v>4581542.6574772373</c:v>
                </c:pt>
                <c:pt idx="2">
                  <c:v>4581542.6574772373</c:v>
                </c:pt>
                <c:pt idx="3">
                  <c:v>5345133.1003901092</c:v>
                </c:pt>
                <c:pt idx="4">
                  <c:v>5345133.1003901092</c:v>
                </c:pt>
                <c:pt idx="5">
                  <c:v>5345133.1003901092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90-44B4-BD20-BB763AEC22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5836351"/>
        <c:axId val="135833951"/>
      </c:barChart>
      <c:catAx>
        <c:axId val="135836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33951"/>
        <c:crosses val="autoZero"/>
        <c:auto val="1"/>
        <c:lblAlgn val="ctr"/>
        <c:lblOffset val="100"/>
        <c:noMultiLvlLbl val="0"/>
      </c:catAx>
      <c:valAx>
        <c:axId val="135833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36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per year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'$125,000 battery fade2'!$B$2:$G$2</c:f>
              <c:strCache>
                <c:ptCount val="6"/>
                <c:pt idx="0">
                  <c:v>0.5C</c:v>
                </c:pt>
                <c:pt idx="1">
                  <c:v>1C</c:v>
                </c:pt>
                <c:pt idx="2">
                  <c:v>1.5C</c:v>
                </c:pt>
                <c:pt idx="3">
                  <c:v>2C</c:v>
                </c:pt>
                <c:pt idx="4">
                  <c:v>2.5C</c:v>
                </c:pt>
                <c:pt idx="5">
                  <c:v>3C</c:v>
                </c:pt>
              </c:strCache>
            </c:strRef>
          </c:cat>
          <c:val>
            <c:numRef>
              <c:f>'$125,000 battery fade2'!$B$23:$G$23</c:f>
              <c:numCache>
                <c:formatCode>#,##0.00</c:formatCode>
                <c:ptCount val="6"/>
                <c:pt idx="0">
                  <c:v>2806522.0241333609</c:v>
                </c:pt>
                <c:pt idx="1">
                  <c:v>4161986.2703310358</c:v>
                </c:pt>
                <c:pt idx="2">
                  <c:v>4104342.8710535578</c:v>
                </c:pt>
                <c:pt idx="3">
                  <c:v>4707440.8227157043</c:v>
                </c:pt>
                <c:pt idx="4">
                  <c:v>4610909.4228842575</c:v>
                </c:pt>
                <c:pt idx="5">
                  <c:v>4507118.6412473042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B6-416E-A38B-A5D70CD884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415247"/>
        <c:axId val="84406607"/>
      </c:barChart>
      <c:catAx>
        <c:axId val="84415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06607"/>
        <c:crosses val="autoZero"/>
        <c:auto val="1"/>
        <c:lblAlgn val="ctr"/>
        <c:lblOffset val="100"/>
        <c:noMultiLvlLbl val="0"/>
      </c:catAx>
      <c:valAx>
        <c:axId val="84406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15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per year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'$125,000 battery fade2'!$B$2:$G$2</c:f>
              <c:strCache>
                <c:ptCount val="6"/>
                <c:pt idx="0">
                  <c:v>0.5C</c:v>
                </c:pt>
                <c:pt idx="1">
                  <c:v>1C</c:v>
                </c:pt>
                <c:pt idx="2">
                  <c:v>1.5C</c:v>
                </c:pt>
                <c:pt idx="3">
                  <c:v>2C</c:v>
                </c:pt>
                <c:pt idx="4">
                  <c:v>2.5C</c:v>
                </c:pt>
                <c:pt idx="5">
                  <c:v>3C</c:v>
                </c:pt>
              </c:strCache>
            </c:strRef>
          </c:cat>
          <c:val>
            <c:numRef>
              <c:f>'$125,000 battery fade2'!$B$9:$G$9</c:f>
              <c:numCache>
                <c:formatCode>General</c:formatCode>
                <c:ptCount val="6"/>
                <c:pt idx="0">
                  <c:v>3050435.8567779032</c:v>
                </c:pt>
                <c:pt idx="1">
                  <c:v>4581542.6574772373</c:v>
                </c:pt>
                <c:pt idx="2">
                  <c:v>4581542.6574772373</c:v>
                </c:pt>
                <c:pt idx="3">
                  <c:v>5345133.1003901092</c:v>
                </c:pt>
                <c:pt idx="4">
                  <c:v>5345133.1003901092</c:v>
                </c:pt>
                <c:pt idx="5">
                  <c:v>5345133.1003901092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A7-4863-A3CE-7F75B53E49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5836351"/>
        <c:axId val="135833951"/>
      </c:barChart>
      <c:catAx>
        <c:axId val="135836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33951"/>
        <c:crosses val="autoZero"/>
        <c:auto val="1"/>
        <c:lblAlgn val="ctr"/>
        <c:lblOffset val="100"/>
        <c:noMultiLvlLbl val="0"/>
      </c:catAx>
      <c:valAx>
        <c:axId val="135833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36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per year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'$50,000 battery fade2'!$B$2:$G$2</c:f>
              <c:strCache>
                <c:ptCount val="6"/>
                <c:pt idx="0">
                  <c:v>0.5C</c:v>
                </c:pt>
                <c:pt idx="1">
                  <c:v>1C</c:v>
                </c:pt>
                <c:pt idx="2">
                  <c:v>1.5C</c:v>
                </c:pt>
                <c:pt idx="3">
                  <c:v>2C</c:v>
                </c:pt>
                <c:pt idx="4">
                  <c:v>2.5C</c:v>
                </c:pt>
                <c:pt idx="5">
                  <c:v>3C</c:v>
                </c:pt>
              </c:strCache>
            </c:strRef>
          </c:cat>
          <c:val>
            <c:numRef>
              <c:f>'$50,000 battery fade2'!$B$23:$G$23</c:f>
              <c:numCache>
                <c:formatCode>#,##0.00</c:formatCode>
                <c:ptCount val="6"/>
                <c:pt idx="0">
                  <c:v>2952870.3237200864</c:v>
                </c:pt>
                <c:pt idx="1">
                  <c:v>4413720.1026187558</c:v>
                </c:pt>
                <c:pt idx="2">
                  <c:v>4390662.7429077653</c:v>
                </c:pt>
                <c:pt idx="3">
                  <c:v>5090056.1893203473</c:v>
                </c:pt>
                <c:pt idx="4">
                  <c:v>5051443.6293877689</c:v>
                </c:pt>
                <c:pt idx="5">
                  <c:v>5009927.3167329878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DA-4140-B457-74ED0B4753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415247"/>
        <c:axId val="84406607"/>
      </c:barChart>
      <c:catAx>
        <c:axId val="84415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06607"/>
        <c:crosses val="autoZero"/>
        <c:auto val="1"/>
        <c:lblAlgn val="ctr"/>
        <c:lblOffset val="100"/>
        <c:noMultiLvlLbl val="0"/>
      </c:catAx>
      <c:valAx>
        <c:axId val="84406607"/>
        <c:scaling>
          <c:orientation val="minMax"/>
          <c:min val="28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15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per year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'$50,000 battery fade2'!$B$2:$G$2</c:f>
              <c:strCache>
                <c:ptCount val="6"/>
                <c:pt idx="0">
                  <c:v>0.5C</c:v>
                </c:pt>
                <c:pt idx="1">
                  <c:v>1C</c:v>
                </c:pt>
                <c:pt idx="2">
                  <c:v>1.5C</c:v>
                </c:pt>
                <c:pt idx="3">
                  <c:v>2C</c:v>
                </c:pt>
                <c:pt idx="4">
                  <c:v>2.5C</c:v>
                </c:pt>
                <c:pt idx="5">
                  <c:v>3C</c:v>
                </c:pt>
              </c:strCache>
            </c:strRef>
          </c:cat>
          <c:val>
            <c:numRef>
              <c:f>'$50,000 battery fade2'!$B$9:$G$9</c:f>
              <c:numCache>
                <c:formatCode>General</c:formatCode>
                <c:ptCount val="6"/>
                <c:pt idx="0">
                  <c:v>3050435.8567779032</c:v>
                </c:pt>
                <c:pt idx="1">
                  <c:v>4581542.6574772373</c:v>
                </c:pt>
                <c:pt idx="2">
                  <c:v>4581542.6574772373</c:v>
                </c:pt>
                <c:pt idx="3">
                  <c:v>5345133.1003901092</c:v>
                </c:pt>
                <c:pt idx="4">
                  <c:v>5345133.1003901092</c:v>
                </c:pt>
                <c:pt idx="5">
                  <c:v>5345133.1003901092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8A-4416-9D71-9FC2F6E7FA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5836351"/>
        <c:axId val="135833951"/>
      </c:barChart>
      <c:catAx>
        <c:axId val="135836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33951"/>
        <c:crosses val="autoZero"/>
        <c:auto val="1"/>
        <c:lblAlgn val="ctr"/>
        <c:lblOffset val="100"/>
        <c:noMultiLvlLbl val="0"/>
      </c:catAx>
      <c:valAx>
        <c:axId val="135833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36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'$50,000 battery fade2'!$A$9</c:f>
              <c:strCache>
                <c:ptCount val="1"/>
                <c:pt idx="0">
                  <c:v>Revenue per year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'$50,000 battery fade2'!$B$2:$G$2</c:f>
              <c:strCache>
                <c:ptCount val="6"/>
                <c:pt idx="0">
                  <c:v>0.5C</c:v>
                </c:pt>
                <c:pt idx="1">
                  <c:v>1C</c:v>
                </c:pt>
                <c:pt idx="2">
                  <c:v>1.5C</c:v>
                </c:pt>
                <c:pt idx="3">
                  <c:v>2C</c:v>
                </c:pt>
                <c:pt idx="4">
                  <c:v>2.5C</c:v>
                </c:pt>
                <c:pt idx="5">
                  <c:v>3C</c:v>
                </c:pt>
              </c:strCache>
            </c:strRef>
          </c:cat>
          <c:val>
            <c:numRef>
              <c:f>'$50,000 battery fade2'!$B$9:$G$9</c:f>
              <c:numCache>
                <c:formatCode>General</c:formatCode>
                <c:ptCount val="6"/>
                <c:pt idx="0">
                  <c:v>3050435.8567779032</c:v>
                </c:pt>
                <c:pt idx="1">
                  <c:v>4581542.6574772373</c:v>
                </c:pt>
                <c:pt idx="2">
                  <c:v>4581542.6574772373</c:v>
                </c:pt>
                <c:pt idx="3">
                  <c:v>5345133.1003901092</c:v>
                </c:pt>
                <c:pt idx="4">
                  <c:v>5345133.1003901092</c:v>
                </c:pt>
                <c:pt idx="5">
                  <c:v>5345133.1003901092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C8-45A7-AAFD-973AE4AAD1C1}"/>
            </c:ext>
          </c:extLst>
        </c:ser>
        <c:ser>
          <c:idx val="1"/>
          <c:order val="1"/>
          <c:tx>
            <c:strRef>
              <c:f>'$50,000 battery fade2'!$A$23</c:f>
              <c:strCache>
                <c:ptCount val="1"/>
                <c:pt idx="0">
                  <c:v>Profit per year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'$50,000 battery fade2'!$B$2:$G$2</c:f>
              <c:strCache>
                <c:ptCount val="6"/>
                <c:pt idx="0">
                  <c:v>0.5C</c:v>
                </c:pt>
                <c:pt idx="1">
                  <c:v>1C</c:v>
                </c:pt>
                <c:pt idx="2">
                  <c:v>1.5C</c:v>
                </c:pt>
                <c:pt idx="3">
                  <c:v>2C</c:v>
                </c:pt>
                <c:pt idx="4">
                  <c:v>2.5C</c:v>
                </c:pt>
                <c:pt idx="5">
                  <c:v>3C</c:v>
                </c:pt>
              </c:strCache>
            </c:strRef>
          </c:cat>
          <c:val>
            <c:numRef>
              <c:f>'$50,000 battery fade2'!$B$23:$G$23</c:f>
              <c:numCache>
                <c:formatCode>#,##0.00</c:formatCode>
                <c:ptCount val="6"/>
                <c:pt idx="0">
                  <c:v>2952870.3237200864</c:v>
                </c:pt>
                <c:pt idx="1">
                  <c:v>4413720.1026187558</c:v>
                </c:pt>
                <c:pt idx="2">
                  <c:v>4390662.7429077653</c:v>
                </c:pt>
                <c:pt idx="3">
                  <c:v>5090056.1893203473</c:v>
                </c:pt>
                <c:pt idx="4">
                  <c:v>5051443.6293877689</c:v>
                </c:pt>
                <c:pt idx="5">
                  <c:v>5009927.3167329878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C8-45A7-AAFD-973AE4AAD1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9238079"/>
        <c:axId val="359231359"/>
      </c:barChart>
      <c:catAx>
        <c:axId val="359238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31359"/>
        <c:crosses val="autoZero"/>
        <c:auto val="1"/>
        <c:lblAlgn val="ctr"/>
        <c:lblOffset val="100"/>
        <c:noMultiLvlLbl val="0"/>
      </c:catAx>
      <c:valAx>
        <c:axId val="359231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38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110738</xdr:colOff>
      <xdr:row>0</xdr:row>
      <xdr:rowOff>0</xdr:rowOff>
    </xdr:from>
    <xdr:to>
      <xdr:col>19</xdr:col>
      <xdr:colOff>347206</xdr:colOff>
      <xdr:row>15</xdr:row>
      <xdr:rowOff>181928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33D9436-1F1B-4313-9DBC-4172B87FD3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19050</xdr:colOff>
      <xdr:row>17</xdr:row>
      <xdr:rowOff>100012</xdr:rowOff>
    </xdr:from>
    <xdr:to>
      <xdr:col>18</xdr:col>
      <xdr:colOff>552450</xdr:colOff>
      <xdr:row>31</xdr:row>
      <xdr:rowOff>176212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2775919-2A1E-4AA0-9303-066B8D0E8E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110738</xdr:colOff>
      <xdr:row>0</xdr:row>
      <xdr:rowOff>0</xdr:rowOff>
    </xdr:from>
    <xdr:to>
      <xdr:col>19</xdr:col>
      <xdr:colOff>347206</xdr:colOff>
      <xdr:row>15</xdr:row>
      <xdr:rowOff>181928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71481B3-1FD1-4310-AE4C-7317A3198E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609599</xdr:colOff>
      <xdr:row>18</xdr:row>
      <xdr:rowOff>90487</xdr:rowOff>
    </xdr:from>
    <xdr:to>
      <xdr:col>18</xdr:col>
      <xdr:colOff>466724</xdr:colOff>
      <xdr:row>32</xdr:row>
      <xdr:rowOff>166687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86E5B45-0FB0-4163-9EFB-657E549137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244088</xdr:colOff>
      <xdr:row>0</xdr:row>
      <xdr:rowOff>0</xdr:rowOff>
    </xdr:from>
    <xdr:to>
      <xdr:col>20</xdr:col>
      <xdr:colOff>480556</xdr:colOff>
      <xdr:row>15</xdr:row>
      <xdr:rowOff>181928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9F78885-BAD2-4EC6-9054-98581BE33F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344260</xdr:colOff>
      <xdr:row>16</xdr:row>
      <xdr:rowOff>124504</xdr:rowOff>
    </xdr:from>
    <xdr:to>
      <xdr:col>19</xdr:col>
      <xdr:colOff>255814</xdr:colOff>
      <xdr:row>31</xdr:row>
      <xdr:rowOff>10204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FF5728A-05BF-43DF-B039-42D60FED85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95249</xdr:colOff>
      <xdr:row>61</xdr:row>
      <xdr:rowOff>61912</xdr:rowOff>
    </xdr:from>
    <xdr:to>
      <xdr:col>4</xdr:col>
      <xdr:colOff>619125</xdr:colOff>
      <xdr:row>77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78E508F-1657-42C8-998B-7ED296D94C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wallstreetzen.com/stocks/us/nyse/fdx/statistics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www.wallstreetzen.com/stocks/us/nyse/fdx/statistics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www.wallstreetzen.com/stocks/us/nyse/fdx/statisti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E2005-0465-496D-BA43-889CE5F0E029}">
  <dimension ref="A1:K42"/>
  <sheetViews>
    <sheetView tabSelected="1" topLeftCell="A4" zoomScaleNormal="100" workbookViewId="0">
      <selection activeCell="K19" sqref="K19"/>
    </sheetView>
  </sheetViews>
  <sheetFormatPr defaultRowHeight="15" x14ac:dyDescent="0.25"/>
  <cols>
    <col min="1" max="1" width="34" bestFit="1" customWidth="1"/>
    <col min="2" max="7" width="13.85546875" bestFit="1" customWidth="1"/>
    <col min="8" max="8" width="24.85546875" customWidth="1"/>
    <col min="9" max="9" width="23.42578125" bestFit="1" customWidth="1"/>
  </cols>
  <sheetData>
    <row r="1" spans="1:1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</row>
    <row r="2" spans="1:11" x14ac:dyDescent="0.25">
      <c r="A2" t="s">
        <v>6</v>
      </c>
      <c r="B2" t="s">
        <v>2</v>
      </c>
      <c r="C2" t="s">
        <v>1</v>
      </c>
      <c r="D2" t="s">
        <v>41</v>
      </c>
      <c r="E2" t="s">
        <v>3</v>
      </c>
      <c r="F2" t="s">
        <v>42</v>
      </c>
      <c r="G2" t="s">
        <v>4</v>
      </c>
      <c r="H2" t="s">
        <v>29</v>
      </c>
      <c r="I2" t="s">
        <v>8</v>
      </c>
      <c r="J2">
        <v>1.284</v>
      </c>
    </row>
    <row r="3" spans="1:11" x14ac:dyDescent="0.25">
      <c r="A3" t="s">
        <v>5</v>
      </c>
      <c r="B3">
        <v>749</v>
      </c>
      <c r="C3">
        <v>654</v>
      </c>
      <c r="D3">
        <v>575</v>
      </c>
      <c r="E3">
        <v>502</v>
      </c>
      <c r="F3">
        <v>436</v>
      </c>
      <c r="G3">
        <v>382</v>
      </c>
      <c r="I3" t="s">
        <v>10</v>
      </c>
      <c r="J3">
        <v>2000</v>
      </c>
      <c r="K3" t="s">
        <v>23</v>
      </c>
    </row>
    <row r="4" spans="1:11" x14ac:dyDescent="0.25">
      <c r="A4" t="s">
        <v>7</v>
      </c>
      <c r="B4">
        <f t="shared" ref="B4:G4" si="0">B3*$J$2</f>
        <v>961.71600000000001</v>
      </c>
      <c r="C4">
        <f t="shared" si="0"/>
        <v>839.73599999999999</v>
      </c>
      <c r="D4">
        <f t="shared" si="0"/>
        <v>738.30000000000007</v>
      </c>
      <c r="E4">
        <f t="shared" si="0"/>
        <v>644.56799999999998</v>
      </c>
      <c r="F4">
        <f t="shared" si="0"/>
        <v>559.82400000000007</v>
      </c>
      <c r="G4">
        <f t="shared" si="0"/>
        <v>490.488</v>
      </c>
      <c r="I4" t="s">
        <v>13</v>
      </c>
      <c r="J4">
        <v>1235</v>
      </c>
      <c r="K4" t="s">
        <v>11</v>
      </c>
    </row>
    <row r="5" spans="1:11" x14ac:dyDescent="0.25">
      <c r="A5" t="s">
        <v>9</v>
      </c>
      <c r="B5" s="8">
        <f>$J$3/B4</f>
        <v>2.0796160196981228</v>
      </c>
      <c r="C5" s="8">
        <f t="shared" ref="C5:G5" si="1">$J$3/C4</f>
        <v>2.381700915525832</v>
      </c>
      <c r="D5" s="8">
        <f t="shared" si="1"/>
        <v>2.7089259108763373</v>
      </c>
      <c r="E5" s="8">
        <f t="shared" si="1"/>
        <v>3.1028533839719006</v>
      </c>
      <c r="F5" s="8">
        <f t="shared" si="1"/>
        <v>3.5725513732887473</v>
      </c>
      <c r="G5" s="8">
        <f t="shared" si="1"/>
        <v>4.0775717244866341</v>
      </c>
      <c r="I5" t="s">
        <v>12</v>
      </c>
      <c r="J5" s="1">
        <v>200000</v>
      </c>
    </row>
    <row r="6" spans="1:11" x14ac:dyDescent="0.25">
      <c r="A6" t="s">
        <v>15</v>
      </c>
      <c r="B6">
        <f t="shared" ref="B6:G6" si="2">B5*$J$5</f>
        <v>415923.20393962454</v>
      </c>
      <c r="C6">
        <f t="shared" si="2"/>
        <v>476340.18310516642</v>
      </c>
      <c r="D6">
        <f t="shared" si="2"/>
        <v>541785.18217526749</v>
      </c>
      <c r="E6">
        <f t="shared" si="2"/>
        <v>620570.67679438007</v>
      </c>
      <c r="F6">
        <f t="shared" si="2"/>
        <v>714510.27465774945</v>
      </c>
      <c r="G6">
        <f t="shared" si="2"/>
        <v>815514.34489732678</v>
      </c>
      <c r="I6" s="2" t="s">
        <v>17</v>
      </c>
      <c r="J6">
        <v>1.69</v>
      </c>
    </row>
    <row r="7" spans="1:11" x14ac:dyDescent="0.25">
      <c r="A7" t="s">
        <v>19</v>
      </c>
      <c r="B7">
        <f t="shared" ref="B7:G7" si="3">$J$6*$J$8</f>
        <v>1625.5062305295949</v>
      </c>
      <c r="C7">
        <f t="shared" si="3"/>
        <v>1625.5062305295949</v>
      </c>
      <c r="D7">
        <f t="shared" si="3"/>
        <v>1625.5062305295949</v>
      </c>
      <c r="E7">
        <f t="shared" si="3"/>
        <v>1625.5062305295949</v>
      </c>
      <c r="F7">
        <f t="shared" si="3"/>
        <v>1625.5062305295949</v>
      </c>
      <c r="G7">
        <f t="shared" si="3"/>
        <v>1625.5062305295949</v>
      </c>
      <c r="I7" t="s">
        <v>14</v>
      </c>
      <c r="J7">
        <f>J6*J4</f>
        <v>2087.15</v>
      </c>
    </row>
    <row r="8" spans="1:11" x14ac:dyDescent="0.25">
      <c r="A8" t="s">
        <v>21</v>
      </c>
      <c r="B8">
        <f t="shared" ref="B8:G8" si="4">B7*$J$3</f>
        <v>3251012.4610591899</v>
      </c>
      <c r="C8">
        <f t="shared" si="4"/>
        <v>3251012.4610591899</v>
      </c>
      <c r="D8">
        <f t="shared" si="4"/>
        <v>3251012.4610591899</v>
      </c>
      <c r="E8">
        <f t="shared" si="4"/>
        <v>3251012.4610591899</v>
      </c>
      <c r="F8">
        <f t="shared" si="4"/>
        <v>3251012.4610591899</v>
      </c>
      <c r="G8">
        <f t="shared" si="4"/>
        <v>3251012.4610591899</v>
      </c>
      <c r="I8" t="s">
        <v>16</v>
      </c>
      <c r="J8">
        <f>J4/J2</f>
        <v>961.83800623052957</v>
      </c>
    </row>
    <row r="9" spans="1:11" x14ac:dyDescent="0.25">
      <c r="A9" t="s">
        <v>45</v>
      </c>
      <c r="B9">
        <f>B8/(B14/365)</f>
        <v>3050435.8567779032</v>
      </c>
      <c r="C9">
        <f t="shared" ref="C9:G9" si="5">C8/(C14/365)</f>
        <v>4581542.6574772373</v>
      </c>
      <c r="D9">
        <f t="shared" si="5"/>
        <v>4581542.6574772373</v>
      </c>
      <c r="E9">
        <f t="shared" si="5"/>
        <v>5345133.1003901092</v>
      </c>
      <c r="F9">
        <f t="shared" si="5"/>
        <v>5345133.1003901092</v>
      </c>
      <c r="G9">
        <f t="shared" si="5"/>
        <v>5345133.1003901092</v>
      </c>
      <c r="I9" t="s">
        <v>28</v>
      </c>
      <c r="J9">
        <f>J8*J3</f>
        <v>1923676.0124610593</v>
      </c>
    </row>
    <row r="10" spans="1:11" x14ac:dyDescent="0.25">
      <c r="A10" t="s">
        <v>18</v>
      </c>
      <c r="B10" s="8">
        <f>2*C10</f>
        <v>1.54</v>
      </c>
      <c r="C10" s="8">
        <v>0.77</v>
      </c>
      <c r="D10" s="8">
        <f>C10/1.5</f>
        <v>0.51333333333333331</v>
      </c>
      <c r="E10" s="8">
        <f>C10/2</f>
        <v>0.38500000000000001</v>
      </c>
      <c r="F10" s="8">
        <f>C10/2.5</f>
        <v>0.308</v>
      </c>
      <c r="G10" s="8">
        <f>C10/3</f>
        <v>0.25666666666666665</v>
      </c>
      <c r="I10" t="s">
        <v>46</v>
      </c>
      <c r="J10">
        <v>12</v>
      </c>
    </row>
    <row r="11" spans="1:11" x14ac:dyDescent="0.25">
      <c r="A11" t="s">
        <v>20</v>
      </c>
      <c r="B11">
        <f t="shared" ref="B11:G11" si="6">B10*$J$3</f>
        <v>3080</v>
      </c>
      <c r="C11">
        <f t="shared" si="6"/>
        <v>1540</v>
      </c>
      <c r="D11">
        <f t="shared" si="6"/>
        <v>1026.6666666666665</v>
      </c>
      <c r="E11">
        <f t="shared" si="6"/>
        <v>770</v>
      </c>
      <c r="F11">
        <f t="shared" si="6"/>
        <v>616</v>
      </c>
      <c r="G11">
        <f t="shared" si="6"/>
        <v>513.33333333333326</v>
      </c>
    </row>
    <row r="12" spans="1:11" x14ac:dyDescent="0.25">
      <c r="A12" t="s">
        <v>50</v>
      </c>
      <c r="B12">
        <f>20*B11</f>
        <v>61600</v>
      </c>
      <c r="C12">
        <f t="shared" ref="C12:G12" si="7">20*C11</f>
        <v>30800</v>
      </c>
      <c r="D12">
        <f>20*D11</f>
        <v>20533.333333333328</v>
      </c>
      <c r="E12">
        <f t="shared" si="7"/>
        <v>15400</v>
      </c>
      <c r="F12">
        <f>20*F11</f>
        <v>12320</v>
      </c>
      <c r="G12">
        <f t="shared" si="7"/>
        <v>10266.666666666664</v>
      </c>
    </row>
    <row r="13" spans="1:11" x14ac:dyDescent="0.25">
      <c r="A13" t="s">
        <v>25</v>
      </c>
      <c r="B13" s="5">
        <f>ROUNDDOWN($J$10/($J$2+B10),0) +IF($J$10-(ROUNDDOWN($J$10/($J$2+B10),0)*($J$2+B10))&gt;=$J$2,1,0)</f>
        <v>4</v>
      </c>
      <c r="C13" s="5">
        <f t="shared" ref="C13:G13" si="8">ROUNDDOWN($J$10/($J$2+C10),0) +IF($J$10-(ROUNDDOWN($J$10/($J$2+C10),0)*($J$2+C10))&gt;=$J$2,1,0)</f>
        <v>6</v>
      </c>
      <c r="D13" s="5">
        <f t="shared" si="8"/>
        <v>6</v>
      </c>
      <c r="E13" s="5">
        <f t="shared" si="8"/>
        <v>7</v>
      </c>
      <c r="F13" s="5">
        <f t="shared" si="8"/>
        <v>7</v>
      </c>
      <c r="G13" s="5">
        <f t="shared" si="8"/>
        <v>7</v>
      </c>
    </row>
    <row r="14" spans="1:11" x14ac:dyDescent="0.25">
      <c r="A14" t="s">
        <v>26</v>
      </c>
      <c r="B14" s="5">
        <f t="shared" ref="B14:G14" si="9">ROUNDDOWN($J$3/(B13*$J$2),0)</f>
        <v>389</v>
      </c>
      <c r="C14" s="5">
        <f>ROUNDDOWN($J$3/(C13*$J$2),0)</f>
        <v>259</v>
      </c>
      <c r="D14" s="5">
        <f t="shared" si="9"/>
        <v>259</v>
      </c>
      <c r="E14" s="5">
        <f t="shared" si="9"/>
        <v>222</v>
      </c>
      <c r="F14" s="5">
        <f t="shared" si="9"/>
        <v>222</v>
      </c>
      <c r="G14" s="5">
        <f t="shared" si="9"/>
        <v>222</v>
      </c>
      <c r="H14" t="s">
        <v>36</v>
      </c>
    </row>
    <row r="15" spans="1:11" x14ac:dyDescent="0.25">
      <c r="A15" t="s">
        <v>26</v>
      </c>
      <c r="B15">
        <f t="shared" ref="B15:G15" si="10">ROUNDDOWN((B11+$J$3)/24,0)</f>
        <v>211</v>
      </c>
      <c r="C15">
        <f t="shared" si="10"/>
        <v>147</v>
      </c>
      <c r="D15">
        <f t="shared" si="10"/>
        <v>126</v>
      </c>
      <c r="E15">
        <f t="shared" si="10"/>
        <v>115</v>
      </c>
      <c r="F15">
        <f t="shared" si="10"/>
        <v>109</v>
      </c>
      <c r="G15">
        <f t="shared" si="10"/>
        <v>104</v>
      </c>
      <c r="H15" t="s">
        <v>30</v>
      </c>
    </row>
    <row r="16" spans="1:11" x14ac:dyDescent="0.25">
      <c r="A16" t="s">
        <v>26</v>
      </c>
      <c r="B16">
        <f t="shared" ref="B16:G16" si="11">ROUNDDOWN((B11+$J$3)/12,0)</f>
        <v>423</v>
      </c>
      <c r="C16">
        <f t="shared" si="11"/>
        <v>295</v>
      </c>
      <c r="D16">
        <f t="shared" si="11"/>
        <v>252</v>
      </c>
      <c r="E16">
        <f t="shared" si="11"/>
        <v>230</v>
      </c>
      <c r="F16">
        <f t="shared" si="11"/>
        <v>218</v>
      </c>
      <c r="G16">
        <f t="shared" si="11"/>
        <v>209</v>
      </c>
      <c r="H16" t="s">
        <v>35</v>
      </c>
    </row>
    <row r="17" spans="1:7" x14ac:dyDescent="0.25">
      <c r="A17" t="s">
        <v>27</v>
      </c>
      <c r="B17" s="8">
        <f>IF(
   $J$10-(ROUNDDOWN($J$10/($J$2+B10),0)*($J$2+B10)) &gt;= $J$2,
   $J$10-(ROUNDDOWN($J$10/($J$2+B10),0)*($J$2+B10)) - $J$2,
   $J$10-(ROUNDDOWN($J$10/($J$2+B10),0)*($J$2+B10))
 )</f>
        <v>0.70400000000000063</v>
      </c>
      <c r="C17" s="8">
        <f>IF(
   $J$10-(ROUNDDOWN($J$10/($J$2+C10),0)*($J$2+C10)) &gt;= $J$2,
   $J$10-(ROUNDDOWN($J$10/($J$2+C10),0)*($J$2+C10)) - $J$2,
   $J$10-(ROUNDDOWN($J$10/($J$2+C10),0)*($J$2+C10))
 )</f>
        <v>0.44599999999999862</v>
      </c>
      <c r="D17" s="8">
        <f t="shared" ref="D17:G17" si="12">IF(
   $J$10-(ROUNDDOWN($J$10/($J$2+D10),0)*($J$2+D10)) &gt;= $J$2,
   $J$10-(ROUNDDOWN($J$10/($J$2+D10),0)*($J$2+D10)) - $J$2,
   $J$10-(ROUNDDOWN($J$10/($J$2+D10),0)*($J$2+D10))
 )</f>
        <v>1.2159999999999993</v>
      </c>
      <c r="E17" s="8">
        <f t="shared" si="12"/>
        <v>0.31700000000000017</v>
      </c>
      <c r="F17" s="8">
        <f t="shared" si="12"/>
        <v>0.85599999999999987</v>
      </c>
      <c r="G17" s="8">
        <f t="shared" si="12"/>
        <v>1.2153333333333336</v>
      </c>
    </row>
    <row r="18" spans="1:7" x14ac:dyDescent="0.25">
      <c r="A18" t="s">
        <v>20</v>
      </c>
      <c r="B18" s="8">
        <f t="shared" ref="B18:G18" si="13">B17*B14</f>
        <v>273.85600000000022</v>
      </c>
      <c r="C18" s="8">
        <f>C17*C14</f>
        <v>115.51399999999964</v>
      </c>
      <c r="D18" s="8">
        <f t="shared" si="13"/>
        <v>314.94399999999985</v>
      </c>
      <c r="E18" s="8">
        <f t="shared" si="13"/>
        <v>70.374000000000038</v>
      </c>
      <c r="F18" s="8">
        <f t="shared" si="13"/>
        <v>190.03199999999998</v>
      </c>
      <c r="G18" s="8">
        <f t="shared" si="13"/>
        <v>269.80400000000009</v>
      </c>
    </row>
    <row r="19" spans="1:7" x14ac:dyDescent="0.25">
      <c r="A19" t="s">
        <v>22</v>
      </c>
      <c r="B19">
        <f>20*B18</f>
        <v>5477.1200000000044</v>
      </c>
      <c r="C19">
        <f t="shared" ref="C19" si="14">20*C18</f>
        <v>2310.2799999999929</v>
      </c>
      <c r="D19">
        <f>20*D18</f>
        <v>6298.8799999999974</v>
      </c>
      <c r="E19">
        <f t="shared" ref="E19" si="15">20*E18</f>
        <v>1407.4800000000007</v>
      </c>
      <c r="F19">
        <f>20*F18</f>
        <v>3800.6399999999994</v>
      </c>
      <c r="G19">
        <f t="shared" ref="G19" si="16">20*G18</f>
        <v>5396.0800000000017</v>
      </c>
    </row>
    <row r="20" spans="1:7" x14ac:dyDescent="0.25">
      <c r="A20" t="s">
        <v>31</v>
      </c>
      <c r="B20" s="6">
        <f>B8-B6</f>
        <v>2835089.2571195653</v>
      </c>
      <c r="C20" s="6">
        <f t="shared" ref="C20:G20" si="17">C8-C6</f>
        <v>2774672.2779540233</v>
      </c>
      <c r="D20" s="6">
        <f t="shared" si="17"/>
        <v>2709227.2788839224</v>
      </c>
      <c r="E20" s="6">
        <f t="shared" si="17"/>
        <v>2630441.7842648099</v>
      </c>
      <c r="F20" s="6">
        <f t="shared" si="17"/>
        <v>2536502.1864014403</v>
      </c>
      <c r="G20" s="6">
        <f t="shared" si="17"/>
        <v>2435498.1161618633</v>
      </c>
    </row>
    <row r="21" spans="1:7" x14ac:dyDescent="0.25">
      <c r="A21" t="s">
        <v>32</v>
      </c>
      <c r="B21" s="3">
        <f>B8-B6-B12</f>
        <v>2773489.2571195653</v>
      </c>
      <c r="C21" s="3">
        <f>C8-C6-C12</f>
        <v>2743872.2779540233</v>
      </c>
      <c r="D21" s="3">
        <f>D8-D6-D12</f>
        <v>2688693.9455505889</v>
      </c>
      <c r="E21" s="3">
        <f t="shared" ref="E21:G21" si="18">E8-E6-E12</f>
        <v>2615041.7842648099</v>
      </c>
      <c r="F21" s="3">
        <f>F8-F6-F12</f>
        <v>2524182.1864014403</v>
      </c>
      <c r="G21" s="3">
        <f t="shared" si="18"/>
        <v>2425231.4494951968</v>
      </c>
    </row>
    <row r="22" spans="1:7" x14ac:dyDescent="0.25">
      <c r="A22" t="s">
        <v>38</v>
      </c>
      <c r="B22" s="3">
        <f>B8-B6-B12</f>
        <v>2773489.2571195653</v>
      </c>
      <c r="C22" s="3">
        <f>C8-C6-C12</f>
        <v>2743872.2779540233</v>
      </c>
      <c r="D22" s="3">
        <f>D8-D6-D12</f>
        <v>2688693.9455505889</v>
      </c>
      <c r="E22" s="3">
        <f t="shared" ref="E22:G22" si="19">E8-E6-E12</f>
        <v>2615041.7842648099</v>
      </c>
      <c r="F22" s="3">
        <f>F8-F6-F12</f>
        <v>2524182.1864014403</v>
      </c>
      <c r="G22" s="3">
        <f t="shared" si="19"/>
        <v>2425231.4494951968</v>
      </c>
    </row>
    <row r="23" spans="1:7" x14ac:dyDescent="0.25">
      <c r="A23" t="s">
        <v>39</v>
      </c>
      <c r="B23" s="6">
        <f>B20/(B14/365)</f>
        <v>2660173.724546636</v>
      </c>
      <c r="C23" s="6">
        <f>C20/(C14/365)</f>
        <v>3910252.438043315</v>
      </c>
      <c r="D23" s="6">
        <f>D20/(D14/365)</f>
        <v>3818022.9991993504</v>
      </c>
      <c r="E23" s="6">
        <f t="shared" ref="E23:G23" si="20">E20/(E14/365)</f>
        <v>4324825.4561110614</v>
      </c>
      <c r="F23" s="6">
        <f>F20/(F14/365)</f>
        <v>4170375.2163807461</v>
      </c>
      <c r="G23" s="6">
        <f t="shared" si="20"/>
        <v>4004309.9657616219</v>
      </c>
    </row>
    <row r="24" spans="1:7" x14ac:dyDescent="0.25">
      <c r="A24" t="s">
        <v>40</v>
      </c>
      <c r="B24" s="6">
        <f>B20/(B14)</f>
        <v>7288.147190538728</v>
      </c>
      <c r="C24" s="6">
        <f>C20/(C14)</f>
        <v>10713.020378200863</v>
      </c>
      <c r="D24" s="6">
        <f>D20/(D14)</f>
        <v>10460.336984107809</v>
      </c>
      <c r="E24" s="6">
        <f t="shared" ref="E24:G24" si="21">E20/(E14)</f>
        <v>11848.836866057702</v>
      </c>
      <c r="F24" s="6">
        <f>F20/(F14)</f>
        <v>11425.685524330813</v>
      </c>
      <c r="G24" s="6">
        <f t="shared" si="21"/>
        <v>10970.712234963348</v>
      </c>
    </row>
    <row r="25" spans="1:7" x14ac:dyDescent="0.25">
      <c r="A25" t="s">
        <v>33</v>
      </c>
      <c r="B25" s="6">
        <f>B20/($J$9*B14)</f>
        <v>3.7886562723286345E-3</v>
      </c>
      <c r="C25" s="6">
        <f t="shared" ref="C25:G25" si="22">C20/($J$9*C14)</f>
        <v>5.5690356945789091E-3</v>
      </c>
      <c r="D25" s="6">
        <f t="shared" si="22"/>
        <v>5.4376812500382286E-3</v>
      </c>
      <c r="E25" s="6">
        <f t="shared" si="22"/>
        <v>6.1594763303716958E-3</v>
      </c>
      <c r="F25" s="6">
        <f t="shared" si="22"/>
        <v>5.9395061592067864E-3</v>
      </c>
      <c r="G25" s="6">
        <f t="shared" si="22"/>
        <v>5.702993728620623E-3</v>
      </c>
    </row>
    <row r="26" spans="1:7" x14ac:dyDescent="0.25">
      <c r="A26" t="s">
        <v>34</v>
      </c>
      <c r="B26" s="3">
        <f t="shared" ref="B26:G26" si="23">B21/($J$9*B16)</f>
        <v>3.4084285239818933E-3</v>
      </c>
      <c r="C26" s="3">
        <f t="shared" si="23"/>
        <v>4.8351499415260624E-3</v>
      </c>
      <c r="D26" s="3">
        <f t="shared" si="23"/>
        <v>5.5463707764394259E-3</v>
      </c>
      <c r="E26" s="3">
        <f t="shared" si="23"/>
        <v>5.9104271272593135E-3</v>
      </c>
      <c r="F26" s="3">
        <f t="shared" si="23"/>
        <v>6.0191099196587484E-3</v>
      </c>
      <c r="G26" s="3">
        <f t="shared" si="23"/>
        <v>6.032189491412418E-3</v>
      </c>
    </row>
    <row r="27" spans="1:7" x14ac:dyDescent="0.25">
      <c r="A27" t="s">
        <v>37</v>
      </c>
      <c r="B27" s="3">
        <f t="shared" ref="B27:G27" si="24">B21/($J$9*B15)</f>
        <v>6.8330107376509044E-3</v>
      </c>
      <c r="C27" s="3">
        <f t="shared" si="24"/>
        <v>9.7031920595250926E-3</v>
      </c>
      <c r="D27" s="3">
        <f t="shared" si="24"/>
        <v>1.1092741552878852E-2</v>
      </c>
      <c r="E27" s="3">
        <f t="shared" si="24"/>
        <v>1.1820854254518627E-2</v>
      </c>
      <c r="F27" s="3">
        <f t="shared" si="24"/>
        <v>1.2038219839317497E-2</v>
      </c>
      <c r="G27" s="3">
        <f t="shared" si="24"/>
        <v>1.2122380804857648E-2</v>
      </c>
    </row>
    <row r="28" spans="1:7" x14ac:dyDescent="0.25">
      <c r="A28" s="4" t="s">
        <v>24</v>
      </c>
      <c r="B28" s="7">
        <f t="shared" ref="B28:G28" si="25">B20/$J$8</f>
        <v>2947.5745798716775</v>
      </c>
      <c r="C28" s="7">
        <f t="shared" si="25"/>
        <v>2884.7604897918754</v>
      </c>
      <c r="D28" s="7">
        <f t="shared" si="25"/>
        <v>2816.7188875198026</v>
      </c>
      <c r="E28" s="7">
        <f t="shared" si="25"/>
        <v>2734.8074906850334</v>
      </c>
      <c r="F28" s="7">
        <f t="shared" si="25"/>
        <v>2637.1407346878132</v>
      </c>
      <c r="G28" s="7">
        <f t="shared" si="25"/>
        <v>2532.1292155075566</v>
      </c>
    </row>
    <row r="29" spans="1:7" x14ac:dyDescent="0.25">
      <c r="A29" t="s">
        <v>44</v>
      </c>
      <c r="B29" s="3">
        <f>B8-B20</f>
        <v>415923.2039396246</v>
      </c>
      <c r="C29" s="3">
        <f t="shared" ref="C29:G29" si="26">C8-C20</f>
        <v>476340.18310516654</v>
      </c>
      <c r="D29" s="3">
        <f t="shared" si="26"/>
        <v>541785.18217526749</v>
      </c>
      <c r="E29" s="3">
        <f t="shared" si="26"/>
        <v>620570.67679437995</v>
      </c>
      <c r="F29" s="3">
        <f t="shared" si="26"/>
        <v>714510.27465774957</v>
      </c>
      <c r="G29" s="3">
        <f t="shared" si="26"/>
        <v>815514.34489732655</v>
      </c>
    </row>
    <row r="30" spans="1:7" x14ac:dyDescent="0.25">
      <c r="A30" t="s">
        <v>43</v>
      </c>
      <c r="B30" s="3">
        <f>(B8/(B14/365))-B23</f>
        <v>390262.13223126717</v>
      </c>
      <c r="C30" s="3">
        <f t="shared" ref="C30:G30" si="27">(C8/(C14/365))-C23</f>
        <v>671290.21943392232</v>
      </c>
      <c r="D30" s="3">
        <f t="shared" si="27"/>
        <v>763519.65827788692</v>
      </c>
      <c r="E30" s="3">
        <f t="shared" si="27"/>
        <v>1020307.6442790478</v>
      </c>
      <c r="F30" s="3">
        <f t="shared" si="27"/>
        <v>1174757.8840093631</v>
      </c>
      <c r="G30" s="3">
        <f t="shared" si="27"/>
        <v>1340823.1346284873</v>
      </c>
    </row>
    <row r="32" spans="1:7" x14ac:dyDescent="0.25">
      <c r="B32">
        <f>IF($J$10-(ROUNDDOWN($J$10/($J$2+B10),0)*($J$2+B10))&gt;=$J$2,1,0)</f>
        <v>0</v>
      </c>
      <c r="C32">
        <f t="shared" ref="C32:G32" si="28">IF($J$10-(ROUNDDOWN($J$10/($J$2+C10),0)*($J$2+C10))&gt;=$J$2,1,0)</f>
        <v>1</v>
      </c>
      <c r="D32">
        <f t="shared" si="28"/>
        <v>0</v>
      </c>
      <c r="E32">
        <f t="shared" si="28"/>
        <v>0</v>
      </c>
      <c r="F32">
        <f t="shared" si="28"/>
        <v>0</v>
      </c>
      <c r="G32">
        <f t="shared" si="28"/>
        <v>0</v>
      </c>
    </row>
    <row r="33" spans="1:7" x14ac:dyDescent="0.25">
      <c r="B33">
        <v>1.73</v>
      </c>
      <c r="C33">
        <v>0.86</v>
      </c>
      <c r="D33">
        <v>0.56999999999999995</v>
      </c>
      <c r="E33">
        <v>0.43</v>
      </c>
      <c r="F33">
        <v>0.34</v>
      </c>
      <c r="G33">
        <v>0.3</v>
      </c>
    </row>
    <row r="34" spans="1:7" x14ac:dyDescent="0.25">
      <c r="B34">
        <f>IF($J$10-($J$10/($J$2+B10))*($J$2+B10)&gt;=$J$2,1,0)</f>
        <v>0</v>
      </c>
      <c r="C34">
        <f t="shared" ref="C34:G34" si="29">IF($J$10-($J$10/($J$2+C10))*($J$2+C10)&gt;=$J$2,1,0)</f>
        <v>0</v>
      </c>
      <c r="D34">
        <f t="shared" si="29"/>
        <v>0</v>
      </c>
      <c r="E34">
        <f t="shared" si="29"/>
        <v>0</v>
      </c>
      <c r="F34">
        <f t="shared" si="29"/>
        <v>0</v>
      </c>
      <c r="G34">
        <f t="shared" si="29"/>
        <v>0</v>
      </c>
    </row>
    <row r="35" spans="1:7" x14ac:dyDescent="0.25">
      <c r="A35" t="s">
        <v>48</v>
      </c>
      <c r="B35">
        <f>$J$10-(ROUNDDOWN($J$10/($J$2+B10),0)*($J$2+B10))</f>
        <v>0.70400000000000063</v>
      </c>
      <c r="C35">
        <f t="shared" ref="C35:G35" si="30">$J$10-(ROUNDDOWN($J$10/($J$2+C10),0)*($J$2+C10))</f>
        <v>1.7299999999999986</v>
      </c>
      <c r="D35">
        <f t="shared" si="30"/>
        <v>1.2159999999999993</v>
      </c>
      <c r="E35">
        <f t="shared" si="30"/>
        <v>0.31700000000000017</v>
      </c>
      <c r="F35">
        <f t="shared" si="30"/>
        <v>0.85599999999999987</v>
      </c>
      <c r="G35">
        <f t="shared" si="30"/>
        <v>1.2153333333333336</v>
      </c>
    </row>
    <row r="36" spans="1:7" x14ac:dyDescent="0.25">
      <c r="A36" t="s">
        <v>47</v>
      </c>
      <c r="B36">
        <f>ROUNDDOWN($J$10/($J$2+B10),0)</f>
        <v>4</v>
      </c>
      <c r="C36">
        <f t="shared" ref="C36:G36" si="31">ROUNDDOWN($J$10/($J$2+C10),0)</f>
        <v>5</v>
      </c>
      <c r="D36">
        <f t="shared" si="31"/>
        <v>6</v>
      </c>
      <c r="E36">
        <f t="shared" si="31"/>
        <v>7</v>
      </c>
      <c r="F36">
        <f t="shared" si="31"/>
        <v>7</v>
      </c>
      <c r="G36">
        <f t="shared" si="31"/>
        <v>7</v>
      </c>
    </row>
    <row r="37" spans="1:7" x14ac:dyDescent="0.25">
      <c r="A37" t="s">
        <v>49</v>
      </c>
      <c r="B37">
        <f>($J$2+B10)</f>
        <v>2.8239999999999998</v>
      </c>
      <c r="C37">
        <f t="shared" ref="C37:G37" si="32">($J$2+C10)</f>
        <v>2.0540000000000003</v>
      </c>
      <c r="D37">
        <f t="shared" si="32"/>
        <v>1.7973333333333334</v>
      </c>
      <c r="E37">
        <f t="shared" si="32"/>
        <v>1.669</v>
      </c>
      <c r="F37">
        <f t="shared" si="32"/>
        <v>1.5920000000000001</v>
      </c>
      <c r="G37">
        <f t="shared" si="32"/>
        <v>1.5406666666666666</v>
      </c>
    </row>
    <row r="42" spans="1:7" x14ac:dyDescent="0.25">
      <c r="B42" s="8">
        <f>2*C42</f>
        <v>1.4</v>
      </c>
      <c r="C42" s="8">
        <v>0.7</v>
      </c>
      <c r="D42" s="8">
        <f>C42/1.5</f>
        <v>0.46666666666666662</v>
      </c>
      <c r="E42" s="8">
        <f>C42/2</f>
        <v>0.35</v>
      </c>
      <c r="F42" s="8">
        <f>C42/2.5</f>
        <v>0.27999999999999997</v>
      </c>
      <c r="G42" s="8">
        <f>C42/3</f>
        <v>0.23333333333333331</v>
      </c>
    </row>
  </sheetData>
  <mergeCells count="1">
    <mergeCell ref="A1:J1"/>
  </mergeCells>
  <hyperlinks>
    <hyperlink ref="I6" r:id="rId1" location=":~:text=How%20much%20revenue%20does%20FedEx,Fedex%20Ground%20Revenue%20Per%20Package" display="Revenue per pound" xr:uid="{4B431496-2C91-4671-A5F3-F2F4D830FE8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EEE3C-9E77-46F7-9A81-83E106985311}">
  <dimension ref="A1:K42"/>
  <sheetViews>
    <sheetView zoomScale="40" zoomScaleNormal="40" workbookViewId="0">
      <selection activeCell="B3" sqref="B3:G3"/>
    </sheetView>
  </sheetViews>
  <sheetFormatPr defaultRowHeight="15" x14ac:dyDescent="0.25"/>
  <cols>
    <col min="1" max="1" width="34" bestFit="1" customWidth="1"/>
    <col min="2" max="7" width="13.85546875" bestFit="1" customWidth="1"/>
    <col min="8" max="8" width="24.85546875" customWidth="1"/>
    <col min="9" max="9" width="23.42578125" bestFit="1" customWidth="1"/>
  </cols>
  <sheetData>
    <row r="1" spans="1:1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</row>
    <row r="2" spans="1:11" x14ac:dyDescent="0.25">
      <c r="A2" t="s">
        <v>6</v>
      </c>
      <c r="B2" t="s">
        <v>2</v>
      </c>
      <c r="C2" t="s">
        <v>1</v>
      </c>
      <c r="D2" t="s">
        <v>41</v>
      </c>
      <c r="E2" t="s">
        <v>3</v>
      </c>
      <c r="F2" t="s">
        <v>42</v>
      </c>
      <c r="G2" t="s">
        <v>4</v>
      </c>
      <c r="H2" t="s">
        <v>29</v>
      </c>
      <c r="I2" t="s">
        <v>8</v>
      </c>
      <c r="J2">
        <v>1.284</v>
      </c>
    </row>
    <row r="3" spans="1:11" x14ac:dyDescent="0.25">
      <c r="A3" t="s">
        <v>5</v>
      </c>
      <c r="B3">
        <v>749</v>
      </c>
      <c r="C3">
        <v>654</v>
      </c>
      <c r="D3">
        <v>575</v>
      </c>
      <c r="E3">
        <v>502</v>
      </c>
      <c r="F3">
        <v>436</v>
      </c>
      <c r="G3">
        <v>382</v>
      </c>
      <c r="I3" t="s">
        <v>10</v>
      </c>
      <c r="J3">
        <v>2000</v>
      </c>
      <c r="K3" t="s">
        <v>23</v>
      </c>
    </row>
    <row r="4" spans="1:11" x14ac:dyDescent="0.25">
      <c r="A4" t="s">
        <v>7</v>
      </c>
      <c r="B4">
        <f t="shared" ref="B4:G4" si="0">B3*$J$2</f>
        <v>961.71600000000001</v>
      </c>
      <c r="C4">
        <f t="shared" si="0"/>
        <v>839.73599999999999</v>
      </c>
      <c r="D4">
        <f t="shared" si="0"/>
        <v>738.30000000000007</v>
      </c>
      <c r="E4">
        <f t="shared" si="0"/>
        <v>644.56799999999998</v>
      </c>
      <c r="F4">
        <f t="shared" si="0"/>
        <v>559.82400000000007</v>
      </c>
      <c r="G4">
        <f t="shared" si="0"/>
        <v>490.488</v>
      </c>
      <c r="I4" t="s">
        <v>13</v>
      </c>
      <c r="J4">
        <v>1235</v>
      </c>
      <c r="K4" t="s">
        <v>11</v>
      </c>
    </row>
    <row r="5" spans="1:11" x14ac:dyDescent="0.25">
      <c r="A5" t="s">
        <v>9</v>
      </c>
      <c r="B5" s="8">
        <f>$J$3/B4</f>
        <v>2.0796160196981228</v>
      </c>
      <c r="C5" s="8">
        <f t="shared" ref="C5:G5" si="1">$J$3/C4</f>
        <v>2.381700915525832</v>
      </c>
      <c r="D5" s="8">
        <f t="shared" si="1"/>
        <v>2.7089259108763373</v>
      </c>
      <c r="E5" s="8">
        <f t="shared" si="1"/>
        <v>3.1028533839719006</v>
      </c>
      <c r="F5" s="8">
        <f t="shared" si="1"/>
        <v>3.5725513732887473</v>
      </c>
      <c r="G5" s="8">
        <f t="shared" si="1"/>
        <v>4.0775717244866341</v>
      </c>
      <c r="I5" t="s">
        <v>12</v>
      </c>
      <c r="J5" s="1">
        <v>125000</v>
      </c>
    </row>
    <row r="6" spans="1:11" x14ac:dyDescent="0.25">
      <c r="A6" t="s">
        <v>15</v>
      </c>
      <c r="B6">
        <f t="shared" ref="B6:G6" si="2">B5*$J$5</f>
        <v>259952.00246226534</v>
      </c>
      <c r="C6">
        <f t="shared" si="2"/>
        <v>297712.61444072897</v>
      </c>
      <c r="D6">
        <f t="shared" si="2"/>
        <v>338615.73885954218</v>
      </c>
      <c r="E6">
        <f t="shared" si="2"/>
        <v>387856.67299648758</v>
      </c>
      <c r="F6">
        <f t="shared" si="2"/>
        <v>446568.92166109342</v>
      </c>
      <c r="G6">
        <f t="shared" si="2"/>
        <v>509696.46556082927</v>
      </c>
      <c r="I6" s="2" t="s">
        <v>17</v>
      </c>
      <c r="J6">
        <v>1.69</v>
      </c>
    </row>
    <row r="7" spans="1:11" x14ac:dyDescent="0.25">
      <c r="A7" t="s">
        <v>19</v>
      </c>
      <c r="B7">
        <f t="shared" ref="B7:G7" si="3">$J$6*$J$8</f>
        <v>1625.5062305295949</v>
      </c>
      <c r="C7">
        <f t="shared" si="3"/>
        <v>1625.5062305295949</v>
      </c>
      <c r="D7">
        <f t="shared" si="3"/>
        <v>1625.5062305295949</v>
      </c>
      <c r="E7">
        <f t="shared" si="3"/>
        <v>1625.5062305295949</v>
      </c>
      <c r="F7">
        <f t="shared" si="3"/>
        <v>1625.5062305295949</v>
      </c>
      <c r="G7">
        <f t="shared" si="3"/>
        <v>1625.5062305295949</v>
      </c>
      <c r="I7" t="s">
        <v>14</v>
      </c>
      <c r="J7">
        <f>J6*J4</f>
        <v>2087.15</v>
      </c>
    </row>
    <row r="8" spans="1:11" x14ac:dyDescent="0.25">
      <c r="A8" t="s">
        <v>21</v>
      </c>
      <c r="B8">
        <f t="shared" ref="B8:G8" si="4">B7*$J$3</f>
        <v>3251012.4610591899</v>
      </c>
      <c r="C8">
        <f t="shared" si="4"/>
        <v>3251012.4610591899</v>
      </c>
      <c r="D8">
        <f t="shared" si="4"/>
        <v>3251012.4610591899</v>
      </c>
      <c r="E8">
        <f t="shared" si="4"/>
        <v>3251012.4610591899</v>
      </c>
      <c r="F8">
        <f t="shared" si="4"/>
        <v>3251012.4610591899</v>
      </c>
      <c r="G8">
        <f t="shared" si="4"/>
        <v>3251012.4610591899</v>
      </c>
      <c r="I8" t="s">
        <v>16</v>
      </c>
      <c r="J8">
        <f>J4/J2</f>
        <v>961.83800623052957</v>
      </c>
    </row>
    <row r="9" spans="1:11" x14ac:dyDescent="0.25">
      <c r="A9" t="s">
        <v>45</v>
      </c>
      <c r="B9">
        <f>B8/(B14/365)</f>
        <v>3050435.8567779032</v>
      </c>
      <c r="C9">
        <f t="shared" ref="C9:G9" si="5">C8/(C14/365)</f>
        <v>4581542.6574772373</v>
      </c>
      <c r="D9">
        <f t="shared" si="5"/>
        <v>4581542.6574772373</v>
      </c>
      <c r="E9">
        <f t="shared" si="5"/>
        <v>5345133.1003901092</v>
      </c>
      <c r="F9">
        <f t="shared" si="5"/>
        <v>5345133.1003901092</v>
      </c>
      <c r="G9">
        <f t="shared" si="5"/>
        <v>5345133.1003901092</v>
      </c>
      <c r="I9" t="s">
        <v>28</v>
      </c>
      <c r="J9">
        <f>J8*J3</f>
        <v>1923676.0124610593</v>
      </c>
    </row>
    <row r="10" spans="1:11" x14ac:dyDescent="0.25">
      <c r="A10" t="s">
        <v>18</v>
      </c>
      <c r="B10" s="8">
        <f>2*C10</f>
        <v>1.54</v>
      </c>
      <c r="C10" s="8">
        <v>0.77</v>
      </c>
      <c r="D10" s="8">
        <f>C10/1.5</f>
        <v>0.51333333333333331</v>
      </c>
      <c r="E10" s="8">
        <f>C10/2</f>
        <v>0.38500000000000001</v>
      </c>
      <c r="F10" s="8">
        <f>C10/2.5</f>
        <v>0.308</v>
      </c>
      <c r="G10" s="8">
        <f>C10/3</f>
        <v>0.25666666666666665</v>
      </c>
      <c r="I10" t="s">
        <v>46</v>
      </c>
      <c r="J10">
        <v>12</v>
      </c>
    </row>
    <row r="11" spans="1:11" x14ac:dyDescent="0.25">
      <c r="A11" t="s">
        <v>20</v>
      </c>
      <c r="B11">
        <f t="shared" ref="B11:G11" si="6">B10*$J$3</f>
        <v>3080</v>
      </c>
      <c r="C11">
        <f t="shared" si="6"/>
        <v>1540</v>
      </c>
      <c r="D11">
        <f t="shared" si="6"/>
        <v>1026.6666666666665</v>
      </c>
      <c r="E11">
        <f t="shared" si="6"/>
        <v>770</v>
      </c>
      <c r="F11">
        <f t="shared" si="6"/>
        <v>616</v>
      </c>
      <c r="G11">
        <f t="shared" si="6"/>
        <v>513.33333333333326</v>
      </c>
    </row>
    <row r="12" spans="1:11" x14ac:dyDescent="0.25">
      <c r="A12" t="s">
        <v>50</v>
      </c>
      <c r="B12">
        <f>20*B11</f>
        <v>61600</v>
      </c>
      <c r="C12">
        <f t="shared" ref="C12:G12" si="7">20*C11</f>
        <v>30800</v>
      </c>
      <c r="D12">
        <f>20*D11</f>
        <v>20533.333333333328</v>
      </c>
      <c r="E12">
        <f t="shared" si="7"/>
        <v>15400</v>
      </c>
      <c r="F12">
        <f>20*F11</f>
        <v>12320</v>
      </c>
      <c r="G12">
        <f t="shared" si="7"/>
        <v>10266.666666666664</v>
      </c>
    </row>
    <row r="13" spans="1:11" x14ac:dyDescent="0.25">
      <c r="A13" t="s">
        <v>25</v>
      </c>
      <c r="B13" s="5">
        <f>ROUNDDOWN($J$10/($J$2+B10),0) +IF($J$10-(ROUNDDOWN($J$10/($J$2+B10),0)*($J$2+B10))&gt;=$J$2,1,0)</f>
        <v>4</v>
      </c>
      <c r="C13" s="5">
        <f t="shared" ref="C13:G13" si="8">ROUNDDOWN($J$10/($J$2+C10),0) +IF($J$10-(ROUNDDOWN($J$10/($J$2+C10),0)*($J$2+C10))&gt;=$J$2,1,0)</f>
        <v>6</v>
      </c>
      <c r="D13" s="5">
        <f t="shared" si="8"/>
        <v>6</v>
      </c>
      <c r="E13" s="5">
        <f t="shared" si="8"/>
        <v>7</v>
      </c>
      <c r="F13" s="5">
        <f t="shared" si="8"/>
        <v>7</v>
      </c>
      <c r="G13" s="5">
        <f t="shared" si="8"/>
        <v>7</v>
      </c>
    </row>
    <row r="14" spans="1:11" x14ac:dyDescent="0.25">
      <c r="A14" t="s">
        <v>26</v>
      </c>
      <c r="B14" s="5">
        <f t="shared" ref="B14:G14" si="9">ROUNDDOWN($J$3/(B13*$J$2),0)</f>
        <v>389</v>
      </c>
      <c r="C14" s="5">
        <f>ROUNDDOWN($J$3/(C13*$J$2),0)</f>
        <v>259</v>
      </c>
      <c r="D14" s="5">
        <f t="shared" si="9"/>
        <v>259</v>
      </c>
      <c r="E14" s="5">
        <f t="shared" si="9"/>
        <v>222</v>
      </c>
      <c r="F14" s="5">
        <f t="shared" si="9"/>
        <v>222</v>
      </c>
      <c r="G14" s="5">
        <f t="shared" si="9"/>
        <v>222</v>
      </c>
      <c r="H14" t="s">
        <v>36</v>
      </c>
    </row>
    <row r="15" spans="1:11" x14ac:dyDescent="0.25">
      <c r="A15" t="s">
        <v>26</v>
      </c>
      <c r="B15">
        <f t="shared" ref="B15:G15" si="10">ROUNDDOWN((B11+$J$3)/24,0)</f>
        <v>211</v>
      </c>
      <c r="C15">
        <f t="shared" si="10"/>
        <v>147</v>
      </c>
      <c r="D15">
        <f t="shared" si="10"/>
        <v>126</v>
      </c>
      <c r="E15">
        <f t="shared" si="10"/>
        <v>115</v>
      </c>
      <c r="F15">
        <f t="shared" si="10"/>
        <v>109</v>
      </c>
      <c r="G15">
        <f t="shared" si="10"/>
        <v>104</v>
      </c>
      <c r="H15" t="s">
        <v>30</v>
      </c>
    </row>
    <row r="16" spans="1:11" x14ac:dyDescent="0.25">
      <c r="A16" t="s">
        <v>26</v>
      </c>
      <c r="B16">
        <f t="shared" ref="B16:G16" si="11">ROUNDDOWN((B11+$J$3)/12,0)</f>
        <v>423</v>
      </c>
      <c r="C16">
        <f t="shared" si="11"/>
        <v>295</v>
      </c>
      <c r="D16">
        <f t="shared" si="11"/>
        <v>252</v>
      </c>
      <c r="E16">
        <f t="shared" si="11"/>
        <v>230</v>
      </c>
      <c r="F16">
        <f t="shared" si="11"/>
        <v>218</v>
      </c>
      <c r="G16">
        <f t="shared" si="11"/>
        <v>209</v>
      </c>
      <c r="H16" t="s">
        <v>35</v>
      </c>
    </row>
    <row r="17" spans="1:7" x14ac:dyDescent="0.25">
      <c r="A17" t="s">
        <v>27</v>
      </c>
      <c r="B17" s="8">
        <f>IF(
   $J$10-(ROUNDDOWN($J$10/($J$2+B10),0)*($J$2+B10)) &gt;= $J$2,
   $J$10-(ROUNDDOWN($J$10/($J$2+B10),0)*($J$2+B10)) - $J$2,
   $J$10-(ROUNDDOWN($J$10/($J$2+B10),0)*($J$2+B10))
 )</f>
        <v>0.70400000000000063</v>
      </c>
      <c r="C17" s="8">
        <f t="shared" ref="C17:G17" si="12">IF(
   $J$10-(ROUNDDOWN($J$10/($J$2+C10),0)*($J$2+C10)) &gt;= $J$2,
   $J$10-(ROUNDDOWN($J$10/($J$2+C10),0)*($J$2+C10)) - $J$2,
   $J$10-(ROUNDDOWN($J$10/($J$2+C10),0)*($J$2+C10))
 )</f>
        <v>0.44599999999999862</v>
      </c>
      <c r="D17" s="8">
        <f t="shared" si="12"/>
        <v>1.2159999999999993</v>
      </c>
      <c r="E17" s="8">
        <f t="shared" si="12"/>
        <v>0.31700000000000017</v>
      </c>
      <c r="F17" s="8">
        <f t="shared" si="12"/>
        <v>0.85599999999999987</v>
      </c>
      <c r="G17" s="8">
        <f t="shared" si="12"/>
        <v>1.2153333333333336</v>
      </c>
    </row>
    <row r="18" spans="1:7" x14ac:dyDescent="0.25">
      <c r="A18" t="s">
        <v>20</v>
      </c>
      <c r="B18" s="8">
        <f t="shared" ref="B18:G18" si="13">B17*B14</f>
        <v>273.85600000000022</v>
      </c>
      <c r="C18" s="8">
        <f>C17*C14</f>
        <v>115.51399999999964</v>
      </c>
      <c r="D18" s="8">
        <f t="shared" si="13"/>
        <v>314.94399999999985</v>
      </c>
      <c r="E18" s="8">
        <f t="shared" si="13"/>
        <v>70.374000000000038</v>
      </c>
      <c r="F18" s="8">
        <f t="shared" si="13"/>
        <v>190.03199999999998</v>
      </c>
      <c r="G18" s="8">
        <f t="shared" si="13"/>
        <v>269.80400000000009</v>
      </c>
    </row>
    <row r="19" spans="1:7" x14ac:dyDescent="0.25">
      <c r="A19" t="s">
        <v>22</v>
      </c>
      <c r="B19">
        <f>20*B18</f>
        <v>5477.1200000000044</v>
      </c>
      <c r="C19">
        <f t="shared" ref="C19" si="14">20*C18</f>
        <v>2310.2799999999929</v>
      </c>
      <c r="D19">
        <f>20*D18</f>
        <v>6298.8799999999974</v>
      </c>
      <c r="E19">
        <f t="shared" ref="E19" si="15">20*E18</f>
        <v>1407.4800000000007</v>
      </c>
      <c r="F19">
        <f>20*F18</f>
        <v>3800.6399999999994</v>
      </c>
      <c r="G19">
        <f t="shared" ref="G19" si="16">20*G18</f>
        <v>5396.0800000000017</v>
      </c>
    </row>
    <row r="20" spans="1:7" x14ac:dyDescent="0.25">
      <c r="A20" t="s">
        <v>31</v>
      </c>
      <c r="B20" s="6">
        <f>B8-B6</f>
        <v>2991060.4585969243</v>
      </c>
      <c r="C20" s="6">
        <f t="shared" ref="C20:G20" si="17">C8-C6</f>
        <v>2953299.846618461</v>
      </c>
      <c r="D20" s="6">
        <f t="shared" si="17"/>
        <v>2912396.7221996477</v>
      </c>
      <c r="E20" s="6">
        <f t="shared" si="17"/>
        <v>2863155.7880627024</v>
      </c>
      <c r="F20" s="6">
        <f t="shared" si="17"/>
        <v>2804443.5393980965</v>
      </c>
      <c r="G20" s="6">
        <f t="shared" si="17"/>
        <v>2741315.9954983606</v>
      </c>
    </row>
    <row r="21" spans="1:7" x14ac:dyDescent="0.25">
      <c r="A21" t="s">
        <v>32</v>
      </c>
      <c r="B21" s="3">
        <f>B8-B6-B12</f>
        <v>2929460.4585969243</v>
      </c>
      <c r="C21" s="3">
        <f>C8-C6-C12</f>
        <v>2922499.846618461</v>
      </c>
      <c r="D21" s="3">
        <f>D8-D6-D12</f>
        <v>2891863.3888663142</v>
      </c>
      <c r="E21" s="3">
        <f t="shared" ref="E21:G21" si="18">E8-E6-E12</f>
        <v>2847755.7880627024</v>
      </c>
      <c r="F21" s="3">
        <f>F8-F6-F12</f>
        <v>2792123.5393980965</v>
      </c>
      <c r="G21" s="3">
        <f t="shared" si="18"/>
        <v>2731049.3288316941</v>
      </c>
    </row>
    <row r="22" spans="1:7" x14ac:dyDescent="0.25">
      <c r="A22" t="s">
        <v>38</v>
      </c>
      <c r="B22" s="3">
        <f>B8-B6-B12</f>
        <v>2929460.4585969243</v>
      </c>
      <c r="C22" s="3">
        <f>C8-C6-C12</f>
        <v>2922499.846618461</v>
      </c>
      <c r="D22" s="3">
        <f>D8-D6-D12</f>
        <v>2891863.3888663142</v>
      </c>
      <c r="E22" s="3">
        <f t="shared" ref="E22:G22" si="19">E8-E6-E12</f>
        <v>2847755.7880627024</v>
      </c>
      <c r="F22" s="3">
        <f>F8-F6-F12</f>
        <v>2792123.5393980965</v>
      </c>
      <c r="G22" s="3">
        <f t="shared" si="19"/>
        <v>2731049.3288316941</v>
      </c>
    </row>
    <row r="23" spans="1:7" x14ac:dyDescent="0.25">
      <c r="A23" t="s">
        <v>39</v>
      </c>
      <c r="B23" s="6">
        <f>B20/(B14/365)</f>
        <v>2806522.0241333609</v>
      </c>
      <c r="C23" s="6">
        <f>C20/(C14/365)</f>
        <v>4161986.2703310358</v>
      </c>
      <c r="D23" s="6">
        <f>D20/(D14/365)</f>
        <v>4104342.8710535578</v>
      </c>
      <c r="E23" s="6">
        <f t="shared" ref="E23:G23" si="20">E20/(E14/365)</f>
        <v>4707440.8227157043</v>
      </c>
      <c r="F23" s="6">
        <f>F20/(F14/365)</f>
        <v>4610909.4228842575</v>
      </c>
      <c r="G23" s="6">
        <f t="shared" si="20"/>
        <v>4507118.6412473042</v>
      </c>
    </row>
    <row r="24" spans="1:7" x14ac:dyDescent="0.25">
      <c r="A24" t="s">
        <v>40</v>
      </c>
      <c r="B24" s="6">
        <f>B20/(B14)</f>
        <v>7689.1014359818109</v>
      </c>
      <c r="C24" s="6">
        <f>C20/(C14)</f>
        <v>11402.702110495988</v>
      </c>
      <c r="D24" s="6">
        <f>D20/(D14)</f>
        <v>11244.774989187828</v>
      </c>
      <c r="E24" s="6">
        <f t="shared" ref="E24:G24" si="21">E20/(E14)</f>
        <v>12897.098144426587</v>
      </c>
      <c r="F24" s="6">
        <f>F20/(F14)</f>
        <v>12632.628555847281</v>
      </c>
      <c r="G24" s="6">
        <f t="shared" si="21"/>
        <v>12348.270249992614</v>
      </c>
    </row>
    <row r="25" spans="1:7" x14ac:dyDescent="0.25">
      <c r="A25" t="s">
        <v>33</v>
      </c>
      <c r="B25" s="6">
        <f>B20/($J$9*B14)</f>
        <v>3.9970875480974267E-3</v>
      </c>
      <c r="C25" s="6">
        <f t="shared" ref="C25:G25" si="22">C20/($J$9*C14)</f>
        <v>5.9275585060230155E-3</v>
      </c>
      <c r="D25" s="6">
        <f t="shared" si="22"/>
        <v>5.8454619781850899E-3</v>
      </c>
      <c r="E25" s="6">
        <f t="shared" si="22"/>
        <v>6.7044024362120395E-3</v>
      </c>
      <c r="F25" s="6">
        <f t="shared" si="22"/>
        <v>6.5669210792339708E-3</v>
      </c>
      <c r="G25" s="6">
        <f t="shared" si="22"/>
        <v>6.4191008101176185E-3</v>
      </c>
    </row>
    <row r="26" spans="1:7" x14ac:dyDescent="0.25">
      <c r="A26" t="s">
        <v>34</v>
      </c>
      <c r="B26" s="3">
        <f t="shared" ref="B26:G26" si="23">B21/($J$9*B16)</f>
        <v>3.6001064584359364E-3</v>
      </c>
      <c r="C26" s="3">
        <f t="shared" si="23"/>
        <v>5.1499208166583457E-3</v>
      </c>
      <c r="D26" s="3">
        <f t="shared" si="23"/>
        <v>5.9654787470348105E-3</v>
      </c>
      <c r="E26" s="3">
        <f t="shared" si="23"/>
        <v>6.4363992815921669E-3</v>
      </c>
      <c r="F26" s="3">
        <f t="shared" si="23"/>
        <v>6.6580370400534045E-3</v>
      </c>
      <c r="G26" s="3">
        <f t="shared" si="23"/>
        <v>6.792839118648461E-3</v>
      </c>
    </row>
    <row r="27" spans="1:7" x14ac:dyDescent="0.25">
      <c r="A27" t="s">
        <v>37</v>
      </c>
      <c r="B27" s="3">
        <f t="shared" ref="B27:G27" si="24">B21/($J$9*B15)</f>
        <v>7.2172750327886307E-3</v>
      </c>
      <c r="C27" s="3">
        <f t="shared" si="24"/>
        <v>1.0334875108259945E-2</v>
      </c>
      <c r="D27" s="3">
        <f t="shared" si="24"/>
        <v>1.1930957494069621E-2</v>
      </c>
      <c r="E27" s="3">
        <f t="shared" si="24"/>
        <v>1.2872798563184334E-2</v>
      </c>
      <c r="F27" s="3">
        <f t="shared" si="24"/>
        <v>1.3316074080106809E-2</v>
      </c>
      <c r="G27" s="3">
        <f t="shared" si="24"/>
        <v>1.3650993998053156E-2</v>
      </c>
    </row>
    <row r="28" spans="1:7" x14ac:dyDescent="0.25">
      <c r="A28" s="4" t="s">
        <v>24</v>
      </c>
      <c r="B28" s="7">
        <f t="shared" ref="B28:G28" si="25">B20/$J$8</f>
        <v>3109.7341124197983</v>
      </c>
      <c r="C28" s="7">
        <f t="shared" si="25"/>
        <v>3070.4753061199222</v>
      </c>
      <c r="D28" s="7">
        <f t="shared" si="25"/>
        <v>3027.9493046998768</v>
      </c>
      <c r="E28" s="7">
        <f t="shared" si="25"/>
        <v>2976.7546816781455</v>
      </c>
      <c r="F28" s="7">
        <f t="shared" si="25"/>
        <v>2915.7129591798835</v>
      </c>
      <c r="G28" s="7">
        <f t="shared" si="25"/>
        <v>2850.0807596922227</v>
      </c>
    </row>
    <row r="29" spans="1:7" x14ac:dyDescent="0.25">
      <c r="A29" t="s">
        <v>44</v>
      </c>
      <c r="B29" s="3">
        <f>B8-B20</f>
        <v>259952.00246226555</v>
      </c>
      <c r="C29" s="3">
        <f t="shared" ref="C29:G29" si="26">C8-C20</f>
        <v>297712.61444072891</v>
      </c>
      <c r="D29" s="3">
        <f t="shared" si="26"/>
        <v>338615.73885954218</v>
      </c>
      <c r="E29" s="3">
        <f t="shared" si="26"/>
        <v>387856.67299648747</v>
      </c>
      <c r="F29" s="3">
        <f t="shared" si="26"/>
        <v>446568.92166109337</v>
      </c>
      <c r="G29" s="3">
        <f t="shared" si="26"/>
        <v>509696.46556082927</v>
      </c>
    </row>
    <row r="30" spans="1:7" x14ac:dyDescent="0.25">
      <c r="A30" t="s">
        <v>43</v>
      </c>
      <c r="B30" s="3">
        <f>(B8/(B14/365))-B23</f>
        <v>243913.83264454221</v>
      </c>
      <c r="C30" s="3">
        <f t="shared" ref="C30:G30" si="27">(C8/(C14/365))-C23</f>
        <v>419556.38714620145</v>
      </c>
      <c r="D30" s="3">
        <f t="shared" si="27"/>
        <v>477199.78642367944</v>
      </c>
      <c r="E30" s="3">
        <f t="shared" si="27"/>
        <v>637692.2776744049</v>
      </c>
      <c r="F30" s="3">
        <f t="shared" si="27"/>
        <v>734223.67750585172</v>
      </c>
      <c r="G30" s="3">
        <f t="shared" si="27"/>
        <v>838014.45914280508</v>
      </c>
    </row>
    <row r="32" spans="1:7" x14ac:dyDescent="0.25">
      <c r="B32">
        <f>IF($J$10-(ROUNDDOWN($J$10/($J$2+B10),0)*($J$2+B10))&gt;=$J$2,1,0)</f>
        <v>0</v>
      </c>
      <c r="C32">
        <f t="shared" ref="C32:G32" si="28">IF($J$10-(ROUNDDOWN($J$10/($J$2+C10),0)*($J$2+C10))&gt;=$J$2,1,0)</f>
        <v>1</v>
      </c>
      <c r="D32">
        <f t="shared" si="28"/>
        <v>0</v>
      </c>
      <c r="E32">
        <f t="shared" si="28"/>
        <v>0</v>
      </c>
      <c r="F32">
        <f t="shared" si="28"/>
        <v>0</v>
      </c>
      <c r="G32">
        <f t="shared" si="28"/>
        <v>0</v>
      </c>
    </row>
    <row r="33" spans="1:7" x14ac:dyDescent="0.25">
      <c r="B33">
        <v>1.73</v>
      </c>
      <c r="C33">
        <v>0.86</v>
      </c>
      <c r="D33">
        <v>0.56999999999999995</v>
      </c>
      <c r="E33">
        <v>0.43</v>
      </c>
      <c r="F33">
        <v>0.34</v>
      </c>
      <c r="G33">
        <v>0.3</v>
      </c>
    </row>
    <row r="34" spans="1:7" x14ac:dyDescent="0.25">
      <c r="B34">
        <f>IF($J$10-($J$10/($J$2+B10))*($J$2+B10)&gt;=$J$2,1,0)</f>
        <v>0</v>
      </c>
      <c r="C34">
        <f t="shared" ref="C34:G34" si="29">IF($J$10-($J$10/($J$2+C10))*($J$2+C10)&gt;=$J$2,1,0)</f>
        <v>0</v>
      </c>
      <c r="D34">
        <f t="shared" si="29"/>
        <v>0</v>
      </c>
      <c r="E34">
        <f t="shared" si="29"/>
        <v>0</v>
      </c>
      <c r="F34">
        <f t="shared" si="29"/>
        <v>0</v>
      </c>
      <c r="G34">
        <f t="shared" si="29"/>
        <v>0</v>
      </c>
    </row>
    <row r="35" spans="1:7" x14ac:dyDescent="0.25">
      <c r="A35" t="s">
        <v>48</v>
      </c>
      <c r="B35">
        <f>$J$10-(ROUNDDOWN($J$10/($J$2+B10),0)*($J$2+B10))</f>
        <v>0.70400000000000063</v>
      </c>
      <c r="C35">
        <f t="shared" ref="C35:G35" si="30">$J$10-(ROUNDDOWN($J$10/($J$2+C10),0)*($J$2+C10))</f>
        <v>1.7299999999999986</v>
      </c>
      <c r="D35">
        <f t="shared" si="30"/>
        <v>1.2159999999999993</v>
      </c>
      <c r="E35">
        <f t="shared" si="30"/>
        <v>0.31700000000000017</v>
      </c>
      <c r="F35">
        <f t="shared" si="30"/>
        <v>0.85599999999999987</v>
      </c>
      <c r="G35">
        <f t="shared" si="30"/>
        <v>1.2153333333333336</v>
      </c>
    </row>
    <row r="36" spans="1:7" x14ac:dyDescent="0.25">
      <c r="A36" t="s">
        <v>47</v>
      </c>
      <c r="B36">
        <f>ROUNDDOWN($J$10/($J$2+B10),0)</f>
        <v>4</v>
      </c>
      <c r="C36">
        <f t="shared" ref="C36:G36" si="31">ROUNDDOWN($J$10/($J$2+C10),0)</f>
        <v>5</v>
      </c>
      <c r="D36">
        <f t="shared" si="31"/>
        <v>6</v>
      </c>
      <c r="E36">
        <f t="shared" si="31"/>
        <v>7</v>
      </c>
      <c r="F36">
        <f t="shared" si="31"/>
        <v>7</v>
      </c>
      <c r="G36">
        <f t="shared" si="31"/>
        <v>7</v>
      </c>
    </row>
    <row r="37" spans="1:7" x14ac:dyDescent="0.25">
      <c r="A37" t="s">
        <v>49</v>
      </c>
      <c r="B37">
        <f>($J$2+B10)</f>
        <v>2.8239999999999998</v>
      </c>
      <c r="C37">
        <f t="shared" ref="C37:G37" si="32">($J$2+C10)</f>
        <v>2.0540000000000003</v>
      </c>
      <c r="D37">
        <f t="shared" si="32"/>
        <v>1.7973333333333334</v>
      </c>
      <c r="E37">
        <f t="shared" si="32"/>
        <v>1.669</v>
      </c>
      <c r="F37">
        <f t="shared" si="32"/>
        <v>1.5920000000000001</v>
      </c>
      <c r="G37">
        <f t="shared" si="32"/>
        <v>1.5406666666666666</v>
      </c>
    </row>
    <row r="42" spans="1:7" x14ac:dyDescent="0.25">
      <c r="B42" s="8">
        <f>2*C42</f>
        <v>1.4</v>
      </c>
      <c r="C42" s="8">
        <v>0.7</v>
      </c>
      <c r="D42" s="8">
        <f>C42/1.5</f>
        <v>0.46666666666666662</v>
      </c>
      <c r="E42" s="8">
        <f>C42/2</f>
        <v>0.35</v>
      </c>
      <c r="F42" s="8">
        <f>C42/2.5</f>
        <v>0.27999999999999997</v>
      </c>
      <c r="G42" s="8">
        <f>C42/3</f>
        <v>0.23333333333333331</v>
      </c>
    </row>
  </sheetData>
  <mergeCells count="1">
    <mergeCell ref="A1:J1"/>
  </mergeCells>
  <hyperlinks>
    <hyperlink ref="I6" r:id="rId1" location=":~:text=How%20much%20revenue%20does%20FedEx,Fedex%20Ground%20Revenue%20Per%20Package" display="Revenue per pound" xr:uid="{401E5595-C7F8-49AB-A99C-03C5C8ACE9DB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F3F94-AF0C-407C-9EC8-B3049D544750}">
  <dimension ref="A1:K42"/>
  <sheetViews>
    <sheetView zoomScale="70" zoomScaleNormal="70" workbookViewId="0">
      <selection activeCell="B3" sqref="B3:G3"/>
    </sheetView>
  </sheetViews>
  <sheetFormatPr defaultRowHeight="15" x14ac:dyDescent="0.25"/>
  <cols>
    <col min="1" max="1" width="34" bestFit="1" customWidth="1"/>
    <col min="2" max="7" width="13.85546875" bestFit="1" customWidth="1"/>
    <col min="8" max="8" width="24.85546875" customWidth="1"/>
    <col min="9" max="9" width="23.42578125" bestFit="1" customWidth="1"/>
  </cols>
  <sheetData>
    <row r="1" spans="1:1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</row>
    <row r="2" spans="1:11" x14ac:dyDescent="0.25">
      <c r="A2" t="s">
        <v>6</v>
      </c>
      <c r="B2" t="s">
        <v>2</v>
      </c>
      <c r="C2" t="s">
        <v>1</v>
      </c>
      <c r="D2" t="s">
        <v>41</v>
      </c>
      <c r="E2" t="s">
        <v>3</v>
      </c>
      <c r="F2" t="s">
        <v>42</v>
      </c>
      <c r="G2" t="s">
        <v>4</v>
      </c>
      <c r="H2" t="s">
        <v>29</v>
      </c>
      <c r="I2" t="s">
        <v>8</v>
      </c>
      <c r="J2">
        <v>1.284</v>
      </c>
    </row>
    <row r="3" spans="1:11" x14ac:dyDescent="0.25">
      <c r="A3" t="s">
        <v>5</v>
      </c>
      <c r="B3">
        <v>749</v>
      </c>
      <c r="C3">
        <v>654</v>
      </c>
      <c r="D3">
        <v>575</v>
      </c>
      <c r="E3">
        <v>502</v>
      </c>
      <c r="F3">
        <v>436</v>
      </c>
      <c r="G3">
        <v>382</v>
      </c>
      <c r="I3" t="s">
        <v>10</v>
      </c>
      <c r="J3">
        <v>2000</v>
      </c>
      <c r="K3" t="s">
        <v>23</v>
      </c>
    </row>
    <row r="4" spans="1:11" x14ac:dyDescent="0.25">
      <c r="A4" t="s">
        <v>7</v>
      </c>
      <c r="B4">
        <f t="shared" ref="B4:G4" si="0">B3*$J$2</f>
        <v>961.71600000000001</v>
      </c>
      <c r="C4">
        <f t="shared" si="0"/>
        <v>839.73599999999999</v>
      </c>
      <c r="D4">
        <f t="shared" si="0"/>
        <v>738.30000000000007</v>
      </c>
      <c r="E4">
        <f t="shared" si="0"/>
        <v>644.56799999999998</v>
      </c>
      <c r="F4">
        <f t="shared" si="0"/>
        <v>559.82400000000007</v>
      </c>
      <c r="G4">
        <f t="shared" si="0"/>
        <v>490.488</v>
      </c>
      <c r="I4" t="s">
        <v>13</v>
      </c>
      <c r="J4">
        <v>1235</v>
      </c>
      <c r="K4" t="s">
        <v>11</v>
      </c>
    </row>
    <row r="5" spans="1:11" x14ac:dyDescent="0.25">
      <c r="A5" t="s">
        <v>9</v>
      </c>
      <c r="B5" s="8">
        <f>$J$3/B4</f>
        <v>2.0796160196981228</v>
      </c>
      <c r="C5" s="8">
        <f t="shared" ref="C5:G5" si="1">$J$3/C4</f>
        <v>2.381700915525832</v>
      </c>
      <c r="D5" s="8">
        <f t="shared" si="1"/>
        <v>2.7089259108763373</v>
      </c>
      <c r="E5" s="8">
        <f t="shared" si="1"/>
        <v>3.1028533839719006</v>
      </c>
      <c r="F5" s="8">
        <f t="shared" si="1"/>
        <v>3.5725513732887473</v>
      </c>
      <c r="G5" s="8">
        <f t="shared" si="1"/>
        <v>4.0775717244866341</v>
      </c>
      <c r="I5" t="s">
        <v>12</v>
      </c>
      <c r="J5" s="1">
        <v>50000</v>
      </c>
    </row>
    <row r="6" spans="1:11" x14ac:dyDescent="0.25">
      <c r="A6" t="s">
        <v>15</v>
      </c>
      <c r="B6">
        <f t="shared" ref="B6:G6" si="2">B5*$J$5</f>
        <v>103980.80098490613</v>
      </c>
      <c r="C6">
        <f t="shared" si="2"/>
        <v>119085.0457762916</v>
      </c>
      <c r="D6">
        <f t="shared" si="2"/>
        <v>135446.29554381687</v>
      </c>
      <c r="E6">
        <f t="shared" si="2"/>
        <v>155142.66919859502</v>
      </c>
      <c r="F6">
        <f t="shared" si="2"/>
        <v>178627.56866443736</v>
      </c>
      <c r="G6">
        <f t="shared" si="2"/>
        <v>203878.5862243317</v>
      </c>
      <c r="I6" s="2" t="s">
        <v>17</v>
      </c>
      <c r="J6">
        <v>1.69</v>
      </c>
    </row>
    <row r="7" spans="1:11" x14ac:dyDescent="0.25">
      <c r="A7" t="s">
        <v>19</v>
      </c>
      <c r="B7">
        <f t="shared" ref="B7:G7" si="3">$J$6*$J$8</f>
        <v>1625.5062305295949</v>
      </c>
      <c r="C7">
        <f t="shared" si="3"/>
        <v>1625.5062305295949</v>
      </c>
      <c r="D7">
        <f t="shared" si="3"/>
        <v>1625.5062305295949</v>
      </c>
      <c r="E7">
        <f t="shared" si="3"/>
        <v>1625.5062305295949</v>
      </c>
      <c r="F7">
        <f t="shared" si="3"/>
        <v>1625.5062305295949</v>
      </c>
      <c r="G7">
        <f t="shared" si="3"/>
        <v>1625.5062305295949</v>
      </c>
      <c r="I7" t="s">
        <v>14</v>
      </c>
      <c r="J7">
        <f>J6*J4</f>
        <v>2087.15</v>
      </c>
    </row>
    <row r="8" spans="1:11" x14ac:dyDescent="0.25">
      <c r="A8" t="s">
        <v>21</v>
      </c>
      <c r="B8">
        <f t="shared" ref="B8:G8" si="4">B7*$J$3</f>
        <v>3251012.4610591899</v>
      </c>
      <c r="C8">
        <f t="shared" si="4"/>
        <v>3251012.4610591899</v>
      </c>
      <c r="D8">
        <f t="shared" si="4"/>
        <v>3251012.4610591899</v>
      </c>
      <c r="E8">
        <f t="shared" si="4"/>
        <v>3251012.4610591899</v>
      </c>
      <c r="F8">
        <f t="shared" si="4"/>
        <v>3251012.4610591899</v>
      </c>
      <c r="G8">
        <f t="shared" si="4"/>
        <v>3251012.4610591899</v>
      </c>
      <c r="I8" t="s">
        <v>16</v>
      </c>
      <c r="J8">
        <f>J4/J2</f>
        <v>961.83800623052957</v>
      </c>
    </row>
    <row r="9" spans="1:11" x14ac:dyDescent="0.25">
      <c r="A9" t="s">
        <v>45</v>
      </c>
      <c r="B9">
        <f>B8/(B14/365)</f>
        <v>3050435.8567779032</v>
      </c>
      <c r="C9">
        <f t="shared" ref="C9:G9" si="5">C8/(C14/365)</f>
        <v>4581542.6574772373</v>
      </c>
      <c r="D9">
        <f t="shared" si="5"/>
        <v>4581542.6574772373</v>
      </c>
      <c r="E9">
        <f t="shared" si="5"/>
        <v>5345133.1003901092</v>
      </c>
      <c r="F9">
        <f t="shared" si="5"/>
        <v>5345133.1003901092</v>
      </c>
      <c r="G9">
        <f t="shared" si="5"/>
        <v>5345133.1003901092</v>
      </c>
      <c r="I9" t="s">
        <v>28</v>
      </c>
      <c r="J9">
        <f>J8*J3</f>
        <v>1923676.0124610593</v>
      </c>
    </row>
    <row r="10" spans="1:11" x14ac:dyDescent="0.25">
      <c r="A10" t="s">
        <v>18</v>
      </c>
      <c r="B10" s="8">
        <f>2*C10</f>
        <v>1.54</v>
      </c>
      <c r="C10" s="8">
        <v>0.77</v>
      </c>
      <c r="D10" s="8">
        <f>C10/1.5</f>
        <v>0.51333333333333331</v>
      </c>
      <c r="E10" s="8">
        <f>C10/2</f>
        <v>0.38500000000000001</v>
      </c>
      <c r="F10" s="8">
        <f>C10/2.5</f>
        <v>0.308</v>
      </c>
      <c r="G10" s="8">
        <f>C10/3</f>
        <v>0.25666666666666665</v>
      </c>
      <c r="I10" t="s">
        <v>46</v>
      </c>
      <c r="J10">
        <v>12</v>
      </c>
    </row>
    <row r="11" spans="1:11" x14ac:dyDescent="0.25">
      <c r="A11" t="s">
        <v>20</v>
      </c>
      <c r="B11">
        <f t="shared" ref="B11:G11" si="6">B10*$J$3</f>
        <v>3080</v>
      </c>
      <c r="C11">
        <f t="shared" si="6"/>
        <v>1540</v>
      </c>
      <c r="D11">
        <f t="shared" si="6"/>
        <v>1026.6666666666665</v>
      </c>
      <c r="E11">
        <f t="shared" si="6"/>
        <v>770</v>
      </c>
      <c r="F11">
        <f t="shared" si="6"/>
        <v>616</v>
      </c>
      <c r="G11">
        <f t="shared" si="6"/>
        <v>513.33333333333326</v>
      </c>
    </row>
    <row r="12" spans="1:11" x14ac:dyDescent="0.25">
      <c r="A12" t="s">
        <v>50</v>
      </c>
      <c r="B12">
        <f>20*B11</f>
        <v>61600</v>
      </c>
      <c r="C12">
        <f t="shared" ref="C12:G12" si="7">20*C11</f>
        <v>30800</v>
      </c>
      <c r="D12">
        <f>20*D11</f>
        <v>20533.333333333328</v>
      </c>
      <c r="E12">
        <f t="shared" si="7"/>
        <v>15400</v>
      </c>
      <c r="F12">
        <f>20*F11</f>
        <v>12320</v>
      </c>
      <c r="G12">
        <f t="shared" si="7"/>
        <v>10266.666666666664</v>
      </c>
    </row>
    <row r="13" spans="1:11" x14ac:dyDescent="0.25">
      <c r="A13" t="s">
        <v>25</v>
      </c>
      <c r="B13" s="5">
        <f>ROUNDDOWN($J$10/($J$2+B10),0) +IF($J$10-(ROUNDDOWN($J$10/($J$2+B10),0)*($J$2+B10))&gt;=$J$2,1,0)</f>
        <v>4</v>
      </c>
      <c r="C13" s="5">
        <f t="shared" ref="C13:G13" si="8">ROUNDDOWN($J$10/($J$2+C10),0) +IF($J$10-(ROUNDDOWN($J$10/($J$2+C10),0)*($J$2+C10))&gt;=$J$2,1,0)</f>
        <v>6</v>
      </c>
      <c r="D13" s="5">
        <f t="shared" si="8"/>
        <v>6</v>
      </c>
      <c r="E13" s="5">
        <f t="shared" si="8"/>
        <v>7</v>
      </c>
      <c r="F13" s="5">
        <f t="shared" si="8"/>
        <v>7</v>
      </c>
      <c r="G13" s="5">
        <f t="shared" si="8"/>
        <v>7</v>
      </c>
    </row>
    <row r="14" spans="1:11" x14ac:dyDescent="0.25">
      <c r="A14" t="s">
        <v>26</v>
      </c>
      <c r="B14" s="5">
        <f t="shared" ref="B14:G14" si="9">ROUNDDOWN($J$3/(B13*$J$2),0)</f>
        <v>389</v>
      </c>
      <c r="C14" s="5">
        <f>ROUNDDOWN($J$3/(C13*$J$2),0)</f>
        <v>259</v>
      </c>
      <c r="D14" s="5">
        <f t="shared" si="9"/>
        <v>259</v>
      </c>
      <c r="E14" s="5">
        <f t="shared" si="9"/>
        <v>222</v>
      </c>
      <c r="F14" s="5">
        <f t="shared" si="9"/>
        <v>222</v>
      </c>
      <c r="G14" s="5">
        <f t="shared" si="9"/>
        <v>222</v>
      </c>
      <c r="H14" t="s">
        <v>36</v>
      </c>
    </row>
    <row r="15" spans="1:11" x14ac:dyDescent="0.25">
      <c r="A15" t="s">
        <v>26</v>
      </c>
      <c r="B15">
        <f t="shared" ref="B15:G15" si="10">ROUNDDOWN((B11+$J$3)/24,0)</f>
        <v>211</v>
      </c>
      <c r="C15">
        <f t="shared" si="10"/>
        <v>147</v>
      </c>
      <c r="D15">
        <f t="shared" si="10"/>
        <v>126</v>
      </c>
      <c r="E15">
        <f t="shared" si="10"/>
        <v>115</v>
      </c>
      <c r="F15">
        <f t="shared" si="10"/>
        <v>109</v>
      </c>
      <c r="G15">
        <f t="shared" si="10"/>
        <v>104</v>
      </c>
      <c r="H15" t="s">
        <v>30</v>
      </c>
    </row>
    <row r="16" spans="1:11" x14ac:dyDescent="0.25">
      <c r="A16" t="s">
        <v>26</v>
      </c>
      <c r="B16">
        <f t="shared" ref="B16:G16" si="11">ROUNDDOWN((B11+$J$3)/12,0)</f>
        <v>423</v>
      </c>
      <c r="C16">
        <f t="shared" si="11"/>
        <v>295</v>
      </c>
      <c r="D16">
        <f t="shared" si="11"/>
        <v>252</v>
      </c>
      <c r="E16">
        <f t="shared" si="11"/>
        <v>230</v>
      </c>
      <c r="F16">
        <f t="shared" si="11"/>
        <v>218</v>
      </c>
      <c r="G16">
        <f t="shared" si="11"/>
        <v>209</v>
      </c>
      <c r="H16" t="s">
        <v>35</v>
      </c>
      <c r="I16">
        <f>ROUNDUP($J$3/B4,0)-1</f>
        <v>2</v>
      </c>
    </row>
    <row r="17" spans="1:7" x14ac:dyDescent="0.25">
      <c r="A17" t="s">
        <v>27</v>
      </c>
      <c r="B17" s="8">
        <f>IF(
   $J$10-(ROUNDDOWN($J$10/($J$2+B10),0)*($J$2+B10)) &gt;= $J$2,
   $J$10-(ROUNDDOWN($J$10/($J$2+B10),0)*($J$2+B10)) - $J$2,
   $J$10-(ROUNDDOWN($J$10/($J$2+B10),0)*($J$2+B10))
 )</f>
        <v>0.70400000000000063</v>
      </c>
      <c r="C17" s="8">
        <f t="shared" ref="C17:G17" si="12">IF(
   $J$10-(ROUNDDOWN($J$10/($J$2+C10),0)*($J$2+C10)) &gt;= $J$2,
   $J$10-(ROUNDDOWN($J$10/($J$2+C10),0)*($J$2+C10)) - $J$2,
   $J$10-(ROUNDDOWN($J$10/($J$2+C10),0)*($J$2+C10))
 )</f>
        <v>0.44599999999999862</v>
      </c>
      <c r="D17" s="8">
        <f t="shared" si="12"/>
        <v>1.2159999999999993</v>
      </c>
      <c r="E17" s="8">
        <f t="shared" si="12"/>
        <v>0.31700000000000017</v>
      </c>
      <c r="F17" s="8">
        <f t="shared" si="12"/>
        <v>0.85599999999999987</v>
      </c>
      <c r="G17" s="8">
        <f t="shared" si="12"/>
        <v>1.2153333333333336</v>
      </c>
    </row>
    <row r="18" spans="1:7" x14ac:dyDescent="0.25">
      <c r="A18" t="s">
        <v>20</v>
      </c>
      <c r="B18" s="8">
        <f t="shared" ref="B18:G18" si="13">B17*B14</f>
        <v>273.85600000000022</v>
      </c>
      <c r="C18" s="8">
        <f>C17*C14</f>
        <v>115.51399999999964</v>
      </c>
      <c r="D18" s="8">
        <f t="shared" si="13"/>
        <v>314.94399999999985</v>
      </c>
      <c r="E18" s="8">
        <f t="shared" si="13"/>
        <v>70.374000000000038</v>
      </c>
      <c r="F18" s="8">
        <f t="shared" si="13"/>
        <v>190.03199999999998</v>
      </c>
      <c r="G18" s="8">
        <f t="shared" si="13"/>
        <v>269.80400000000009</v>
      </c>
    </row>
    <row r="19" spans="1:7" x14ac:dyDescent="0.25">
      <c r="A19" t="s">
        <v>22</v>
      </c>
      <c r="B19">
        <f>20*B18</f>
        <v>5477.1200000000044</v>
      </c>
      <c r="C19">
        <f t="shared" ref="C19" si="14">20*C18</f>
        <v>2310.2799999999929</v>
      </c>
      <c r="D19">
        <f>20*D18</f>
        <v>6298.8799999999974</v>
      </c>
      <c r="E19">
        <f t="shared" ref="E19" si="15">20*E18</f>
        <v>1407.4800000000007</v>
      </c>
      <c r="F19">
        <f>20*F18</f>
        <v>3800.6399999999994</v>
      </c>
      <c r="G19">
        <f t="shared" ref="G19" si="16">20*G18</f>
        <v>5396.0800000000017</v>
      </c>
    </row>
    <row r="20" spans="1:7" x14ac:dyDescent="0.25">
      <c r="A20" t="s">
        <v>31</v>
      </c>
      <c r="B20" s="6">
        <f>B8-B6</f>
        <v>3147031.6600742838</v>
      </c>
      <c r="C20" s="6">
        <f t="shared" ref="C20:G20" si="17">C8-C6</f>
        <v>3131927.4152828981</v>
      </c>
      <c r="D20" s="6">
        <f t="shared" si="17"/>
        <v>3115566.165515373</v>
      </c>
      <c r="E20" s="6">
        <f t="shared" si="17"/>
        <v>3095869.7918605949</v>
      </c>
      <c r="F20" s="6">
        <f t="shared" si="17"/>
        <v>3072384.8923947527</v>
      </c>
      <c r="G20" s="6">
        <f t="shared" si="17"/>
        <v>3047133.8748348583</v>
      </c>
    </row>
    <row r="21" spans="1:7" x14ac:dyDescent="0.25">
      <c r="A21" t="s">
        <v>32</v>
      </c>
      <c r="B21" s="3">
        <f>B8-B6-B12</f>
        <v>3085431.6600742838</v>
      </c>
      <c r="C21" s="3">
        <f>C8-C6-C12</f>
        <v>3101127.4152828981</v>
      </c>
      <c r="D21" s="3">
        <f>D8-D6-D12</f>
        <v>3095032.8321820395</v>
      </c>
      <c r="E21" s="3">
        <f t="shared" ref="E21:G21" si="18">E8-E6-E12</f>
        <v>3080469.7918605949</v>
      </c>
      <c r="F21" s="3">
        <f>F8-F6-F12</f>
        <v>3060064.8923947527</v>
      </c>
      <c r="G21" s="3">
        <f t="shared" si="18"/>
        <v>3036867.2081681918</v>
      </c>
    </row>
    <row r="22" spans="1:7" x14ac:dyDescent="0.25">
      <c r="A22" t="s">
        <v>38</v>
      </c>
      <c r="B22" s="3">
        <f>B8-B6-B12</f>
        <v>3085431.6600742838</v>
      </c>
      <c r="C22" s="3">
        <f>C8-C6-C12</f>
        <v>3101127.4152828981</v>
      </c>
      <c r="D22" s="3">
        <f>D8-D6-D12</f>
        <v>3095032.8321820395</v>
      </c>
      <c r="E22" s="3">
        <f t="shared" ref="E22:G22" si="19">E8-E6-E12</f>
        <v>3080469.7918605949</v>
      </c>
      <c r="F22" s="3">
        <f>F8-F6-F12</f>
        <v>3060064.8923947527</v>
      </c>
      <c r="G22" s="3">
        <f t="shared" si="19"/>
        <v>3036867.2081681918</v>
      </c>
    </row>
    <row r="23" spans="1:7" x14ac:dyDescent="0.25">
      <c r="A23" t="s">
        <v>39</v>
      </c>
      <c r="B23" s="6">
        <f>B20/(B14/365)</f>
        <v>2952870.3237200864</v>
      </c>
      <c r="C23" s="6">
        <f>C20/(C14/365)</f>
        <v>4413720.1026187558</v>
      </c>
      <c r="D23" s="6">
        <f>D20/(D14/365)</f>
        <v>4390662.7429077653</v>
      </c>
      <c r="E23" s="6">
        <f t="shared" ref="E23:G23" si="20">E20/(E14/365)</f>
        <v>5090056.1893203473</v>
      </c>
      <c r="F23" s="6">
        <f>F20/(F14/365)</f>
        <v>5051443.6293877689</v>
      </c>
      <c r="G23" s="6">
        <f t="shared" si="20"/>
        <v>5009927.3167329878</v>
      </c>
    </row>
    <row r="24" spans="1:7" x14ac:dyDescent="0.25">
      <c r="A24" t="s">
        <v>40</v>
      </c>
      <c r="B24" s="6">
        <f>B20/(B14)</f>
        <v>8090.0556814248939</v>
      </c>
      <c r="C24" s="6">
        <f>C20/(C14)</f>
        <v>12092.383842791112</v>
      </c>
      <c r="D24" s="6">
        <f>D20/(D14)</f>
        <v>12029.212994267849</v>
      </c>
      <c r="E24" s="6">
        <f t="shared" ref="E24:G24" si="21">E20/(E14)</f>
        <v>13945.359422795473</v>
      </c>
      <c r="F24" s="6">
        <f>F20/(F14)</f>
        <v>13839.571587363751</v>
      </c>
      <c r="G24" s="6">
        <f t="shared" si="21"/>
        <v>13725.828265021884</v>
      </c>
    </row>
    <row r="25" spans="1:7" x14ac:dyDescent="0.25">
      <c r="A25" t="s">
        <v>33</v>
      </c>
      <c r="B25" s="6">
        <f>B20/($J$9*B14)</f>
        <v>4.2055188238662201E-3</v>
      </c>
      <c r="C25" s="6">
        <f t="shared" ref="C25:G25" si="22">C20/($J$9*C14)</f>
        <v>6.2860813174671201E-3</v>
      </c>
      <c r="D25" s="6">
        <f t="shared" si="22"/>
        <v>6.2532427063319504E-3</v>
      </c>
      <c r="E25" s="6">
        <f t="shared" si="22"/>
        <v>7.2493285420523832E-3</v>
      </c>
      <c r="F25" s="6">
        <f t="shared" si="22"/>
        <v>7.1943359992611561E-3</v>
      </c>
      <c r="G25" s="6">
        <f t="shared" si="22"/>
        <v>7.1352078916146148E-3</v>
      </c>
    </row>
    <row r="26" spans="1:7" x14ac:dyDescent="0.25">
      <c r="A26" t="s">
        <v>34</v>
      </c>
      <c r="B26" s="3">
        <f t="shared" ref="B26:G26" si="23">B21/($J$9*B16)</f>
        <v>3.7917843928899804E-3</v>
      </c>
      <c r="C26" s="3">
        <f t="shared" si="23"/>
        <v>5.4646916917906272E-3</v>
      </c>
      <c r="D26" s="3">
        <f t="shared" si="23"/>
        <v>6.3845867176301951E-3</v>
      </c>
      <c r="E26" s="3">
        <f t="shared" si="23"/>
        <v>6.9623714359250194E-3</v>
      </c>
      <c r="F26" s="3">
        <f t="shared" si="23"/>
        <v>7.2969641604480606E-3</v>
      </c>
      <c r="G26" s="3">
        <f t="shared" si="23"/>
        <v>7.5534887458845049E-3</v>
      </c>
    </row>
    <row r="27" spans="1:7" x14ac:dyDescent="0.25">
      <c r="A27" t="s">
        <v>37</v>
      </c>
      <c r="B27" s="3">
        <f t="shared" ref="B27:G27" si="24">B21/($J$9*B15)</f>
        <v>7.6015393279263588E-3</v>
      </c>
      <c r="C27" s="3">
        <f t="shared" si="24"/>
        <v>1.0966558156994797E-2</v>
      </c>
      <c r="D27" s="3">
        <f t="shared" si="24"/>
        <v>1.276917343526039E-2</v>
      </c>
      <c r="E27" s="3">
        <f t="shared" si="24"/>
        <v>1.3924742871850039E-2</v>
      </c>
      <c r="F27" s="3">
        <f t="shared" si="24"/>
        <v>1.4593928320896121E-2</v>
      </c>
      <c r="G27" s="3">
        <f t="shared" si="24"/>
        <v>1.5179607191248669E-2</v>
      </c>
    </row>
    <row r="28" spans="1:7" x14ac:dyDescent="0.25">
      <c r="A28" s="4" t="s">
        <v>24</v>
      </c>
      <c r="B28" s="7">
        <f t="shared" ref="B28:G28" si="25">B20/$J$8</f>
        <v>3271.8936449679195</v>
      </c>
      <c r="C28" s="7">
        <f t="shared" si="25"/>
        <v>3256.1901224479689</v>
      </c>
      <c r="D28" s="7">
        <f t="shared" si="25"/>
        <v>3239.1797218799506</v>
      </c>
      <c r="E28" s="7">
        <f t="shared" si="25"/>
        <v>3218.7018726712581</v>
      </c>
      <c r="F28" s="7">
        <f t="shared" si="25"/>
        <v>3194.2851836719533</v>
      </c>
      <c r="G28" s="7">
        <f t="shared" si="25"/>
        <v>3168.0323038768893</v>
      </c>
    </row>
    <row r="29" spans="1:7" x14ac:dyDescent="0.25">
      <c r="A29" t="s">
        <v>44</v>
      </c>
      <c r="B29" s="3">
        <f>B8-B20</f>
        <v>103980.80098490603</v>
      </c>
      <c r="C29" s="3">
        <f t="shared" ref="C29:G29" si="26">C8-C20</f>
        <v>119085.04577629175</v>
      </c>
      <c r="D29" s="3">
        <f t="shared" si="26"/>
        <v>135446.29554381687</v>
      </c>
      <c r="E29" s="3">
        <f t="shared" si="26"/>
        <v>155142.66919859499</v>
      </c>
      <c r="F29" s="3">
        <f t="shared" si="26"/>
        <v>178627.56866443716</v>
      </c>
      <c r="G29" s="3">
        <f t="shared" si="26"/>
        <v>203878.58622433152</v>
      </c>
    </row>
    <row r="30" spans="1:7" x14ac:dyDescent="0.25">
      <c r="A30" t="s">
        <v>43</v>
      </c>
      <c r="B30" s="3">
        <f>(B8/(B14/365))-B23</f>
        <v>97565.533057816792</v>
      </c>
      <c r="C30" s="3">
        <f t="shared" ref="C30:G30" si="27">(C8/(C14/365))-C23</f>
        <v>167822.55485848151</v>
      </c>
      <c r="D30" s="3">
        <f t="shared" si="27"/>
        <v>190879.91456947196</v>
      </c>
      <c r="E30" s="3">
        <f t="shared" si="27"/>
        <v>255076.91106976196</v>
      </c>
      <c r="F30" s="3">
        <f t="shared" si="27"/>
        <v>293689.47100234032</v>
      </c>
      <c r="G30" s="3">
        <f t="shared" si="27"/>
        <v>335205.78365712147</v>
      </c>
    </row>
    <row r="32" spans="1:7" x14ac:dyDescent="0.25">
      <c r="B32">
        <f>IF($J$10-(ROUNDDOWN($J$10/($J$2+B10),0)*($J$2+B10))&gt;=$J$2,1,0)</f>
        <v>0</v>
      </c>
      <c r="C32">
        <f t="shared" ref="C32:G32" si="28">IF($J$10-(ROUNDDOWN($J$10/($J$2+C10),0)*($J$2+C10))&gt;=$J$2,1,0)</f>
        <v>1</v>
      </c>
      <c r="D32">
        <f t="shared" si="28"/>
        <v>0</v>
      </c>
      <c r="E32">
        <f t="shared" si="28"/>
        <v>0</v>
      </c>
      <c r="F32">
        <f t="shared" si="28"/>
        <v>0</v>
      </c>
      <c r="G32">
        <f t="shared" si="28"/>
        <v>0</v>
      </c>
    </row>
    <row r="33" spans="1:7" x14ac:dyDescent="0.25">
      <c r="B33">
        <v>1.73</v>
      </c>
      <c r="C33">
        <v>0.86</v>
      </c>
      <c r="D33">
        <v>0.56999999999999995</v>
      </c>
      <c r="E33">
        <v>0.43</v>
      </c>
      <c r="F33">
        <v>0.34</v>
      </c>
      <c r="G33">
        <v>0.3</v>
      </c>
    </row>
    <row r="34" spans="1:7" x14ac:dyDescent="0.25">
      <c r="B34">
        <f>IF($J$10-($J$10/($J$2+B10))*($J$2+B10)&gt;=$J$2,1,0)</f>
        <v>0</v>
      </c>
      <c r="C34">
        <f t="shared" ref="C34:G34" si="29">IF($J$10-($J$10/($J$2+C10))*($J$2+C10)&gt;=$J$2,1,0)</f>
        <v>0</v>
      </c>
      <c r="D34">
        <f t="shared" si="29"/>
        <v>0</v>
      </c>
      <c r="E34">
        <f t="shared" si="29"/>
        <v>0</v>
      </c>
      <c r="F34">
        <f t="shared" si="29"/>
        <v>0</v>
      </c>
      <c r="G34">
        <f t="shared" si="29"/>
        <v>0</v>
      </c>
    </row>
    <row r="35" spans="1:7" x14ac:dyDescent="0.25">
      <c r="A35" t="s">
        <v>48</v>
      </c>
      <c r="B35">
        <f>$J$10-(ROUNDDOWN($J$10/($J$2+B10),0)*($J$2+B10))</f>
        <v>0.70400000000000063</v>
      </c>
      <c r="C35">
        <f t="shared" ref="C35:G35" si="30">$J$10-(ROUNDDOWN($J$10/($J$2+C10),0)*($J$2+C10))</f>
        <v>1.7299999999999986</v>
      </c>
      <c r="D35">
        <f t="shared" si="30"/>
        <v>1.2159999999999993</v>
      </c>
      <c r="E35">
        <f t="shared" si="30"/>
        <v>0.31700000000000017</v>
      </c>
      <c r="F35">
        <f t="shared" si="30"/>
        <v>0.85599999999999987</v>
      </c>
      <c r="G35">
        <f t="shared" si="30"/>
        <v>1.2153333333333336</v>
      </c>
    </row>
    <row r="36" spans="1:7" x14ac:dyDescent="0.25">
      <c r="A36" t="s">
        <v>47</v>
      </c>
      <c r="B36">
        <f>ROUNDDOWN($J$10/($J$2+B10),0)</f>
        <v>4</v>
      </c>
      <c r="C36">
        <f t="shared" ref="C36:G36" si="31">ROUNDDOWN($J$10/($J$2+C10),0)</f>
        <v>5</v>
      </c>
      <c r="D36">
        <f t="shared" si="31"/>
        <v>6</v>
      </c>
      <c r="E36">
        <f t="shared" si="31"/>
        <v>7</v>
      </c>
      <c r="F36">
        <f t="shared" si="31"/>
        <v>7</v>
      </c>
      <c r="G36">
        <f t="shared" si="31"/>
        <v>7</v>
      </c>
    </row>
    <row r="37" spans="1:7" x14ac:dyDescent="0.25">
      <c r="A37" t="s">
        <v>49</v>
      </c>
      <c r="B37">
        <f>($J$2+B10)</f>
        <v>2.8239999999999998</v>
      </c>
      <c r="C37">
        <f t="shared" ref="C37:G37" si="32">($J$2+C10)</f>
        <v>2.0540000000000003</v>
      </c>
      <c r="D37">
        <f t="shared" si="32"/>
        <v>1.7973333333333334</v>
      </c>
      <c r="E37">
        <f t="shared" si="32"/>
        <v>1.669</v>
      </c>
      <c r="F37">
        <f t="shared" si="32"/>
        <v>1.5920000000000001</v>
      </c>
      <c r="G37">
        <f t="shared" si="32"/>
        <v>1.5406666666666666</v>
      </c>
    </row>
    <row r="42" spans="1:7" x14ac:dyDescent="0.25">
      <c r="B42" s="8">
        <f>2*C42</f>
        <v>1.4</v>
      </c>
      <c r="C42" s="8">
        <v>0.7</v>
      </c>
      <c r="D42" s="8">
        <f>C42/1.5</f>
        <v>0.46666666666666662</v>
      </c>
      <c r="E42" s="8">
        <f>C42/2</f>
        <v>0.35</v>
      </c>
      <c r="F42" s="8">
        <f>C42/2.5</f>
        <v>0.27999999999999997</v>
      </c>
      <c r="G42" s="8">
        <f>C42/3</f>
        <v>0.23333333333333331</v>
      </c>
    </row>
  </sheetData>
  <mergeCells count="1">
    <mergeCell ref="A1:J1"/>
  </mergeCells>
  <hyperlinks>
    <hyperlink ref="I6" r:id="rId1" location=":~:text=How%20much%20revenue%20does%20FedEx,Fedex%20Ground%20Revenue%20Per%20Package" display="Revenue per pound" xr:uid="{06E6DD2A-7464-4BE3-B717-391AC3245CA3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$200,000 battery fade2</vt:lpstr>
      <vt:lpstr>$125,000 battery fade2</vt:lpstr>
      <vt:lpstr>$50,000 battery fade2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Adebajo, Korebami</dc:creator>
  <cp:lastModifiedBy>Adebajo, Korebami</cp:lastModifiedBy>
  <dcterms:created xsi:type="dcterms:W3CDTF">2025-10-13T19:35:54Z</dcterms:created>
  <dcterms:modified xsi:type="dcterms:W3CDTF">2026-04-23T18:46:39Z</dcterms:modified>
</cp:coreProperties>
</file>